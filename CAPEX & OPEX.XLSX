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370"/>
  </bookViews>
  <sheets>
    <sheet name="Capex note" sheetId="1" r:id="rId1"/>
    <sheet name="Summary" sheetId="6" r:id="rId2"/>
    <sheet name="Annx-1" sheetId="5" r:id="rId3"/>
    <sheet name="Annx-3 Tech comparision" sheetId="3" r:id="rId4"/>
    <sheet name="Annx- 4 Comm comparison" sheetId="2" r:id="rId5"/>
    <sheet name="Summ-Commercial" sheetId="4" state="hidden" r:id="rId6"/>
  </sheets>
  <definedNames>
    <definedName name="_xlnm.Print_Titles" localSheetId="0">'Capex note'!$21:$21</definedName>
  </definedNames>
  <calcPr calcId="144525"/>
</workbook>
</file>

<file path=xl/sharedStrings.xml><?xml version="1.0" encoding="utf-8"?>
<sst xmlns="http://schemas.openxmlformats.org/spreadsheetml/2006/main" count="305">
  <si>
    <t xml:space="preserve">MMRL-GREATER NOIDA : CAPEX NOTE No. : MMRP.CCDL.04.07 </t>
  </si>
  <si>
    <t>Date: 20th August'2017</t>
  </si>
  <si>
    <t>TITLE / HEAD</t>
  </si>
  <si>
    <t>Air Compressor</t>
  </si>
  <si>
    <t xml:space="preserve">ITEM / SERVICE REQUIRED </t>
  </si>
  <si>
    <t xml:space="preserve">60 CFM Compressor with VFD, Air dryer with 1000L Air receiver unit. </t>
  </si>
  <si>
    <t>PURPOSE / JUSTIFICATION</t>
  </si>
  <si>
    <t>As per the  process requirement in the collection centre, moisture free compressed air is required to operate most of the depollution and dismantling equipment.
Also for smooth operation of pneumatic operated equipment's, Air receiver unit is required.</t>
  </si>
  <si>
    <t>DESIGN SPECIFICATION</t>
  </si>
  <si>
    <r>
      <rPr>
        <sz val="11"/>
        <color rgb="FF002060"/>
        <rFont val="Calibri"/>
        <charset val="134"/>
      </rPr>
      <t>60 CFM Compressor with VFD, Air dryer and 1000L Air receiver. Compressed air requirement calculation sheet is attached as '</t>
    </r>
    <r>
      <rPr>
        <b/>
        <sz val="11"/>
        <color rgb="FF002060"/>
        <rFont val="Calibri"/>
        <charset val="134"/>
      </rPr>
      <t>Annexure 1'.</t>
    </r>
  </si>
  <si>
    <t>ROUND OF NEGOTIATIONS</t>
  </si>
  <si>
    <t>Final round of negotiation done at Delhi office (Mahindra Towers) on August 3, 2017.</t>
  </si>
  <si>
    <t>SITE VISIT / ASSESSMENT</t>
  </si>
  <si>
    <t>Gardner Denver (Comp-Air) installations visited in Greater Noida (Lemon mobiles, Laxmi Fab Dye Printing P Ltd &amp; Plistering Electronics) on August 4, 2017. Already using Elgi and Atlas Copco compressor in other MIL locations.</t>
  </si>
  <si>
    <t>OTHER FACTORS</t>
  </si>
  <si>
    <t>We are using Comp-air (Gardner Denver) compressor at our MME Sharjah , plant from last 5 years and have received a positive feedback on the smooth operation and maintenance of the said make compressor.</t>
  </si>
  <si>
    <t>No of Company</t>
  </si>
  <si>
    <t>No of Revisions</t>
  </si>
  <si>
    <t>+</t>
  </si>
  <si>
    <t>Atlas Copco / 
Vedant &amp; Innovative</t>
  </si>
  <si>
    <t>ELGI</t>
  </si>
  <si>
    <t xml:space="preserve">IR /
Aircon
</t>
  </si>
  <si>
    <t>Gardner Denver /
Maxon Engineering</t>
  </si>
  <si>
    <t>Kaeser / 
Laxmi</t>
  </si>
  <si>
    <t>OFFERS</t>
  </si>
  <si>
    <t>R0</t>
  </si>
  <si>
    <t>R1</t>
  </si>
  <si>
    <t>R2</t>
  </si>
  <si>
    <t>R3</t>
  </si>
  <si>
    <t>REFERENCES</t>
  </si>
  <si>
    <t>04.05.17</t>
  </si>
  <si>
    <t>VESSPL/SBKMSCL/1362
05.05.17</t>
  </si>
  <si>
    <t>VESSPL/MM/16
05.08.17</t>
  </si>
  <si>
    <t>SDS/2017/38
07.08.17</t>
  </si>
  <si>
    <t>231F496
18.04.17</t>
  </si>
  <si>
    <t>231F496
07.08.17</t>
  </si>
  <si>
    <t>AE/000329/HSK
28.07.17</t>
  </si>
  <si>
    <t>PI
05.08.17</t>
  </si>
  <si>
    <t>GD-229R
23.07.17</t>
  </si>
  <si>
    <t>GD-229R
03.08.17</t>
  </si>
  <si>
    <t>GD-229R1
07.08.17</t>
  </si>
  <si>
    <t>QTN/17/KC/030/MahMSTC
17.07.17</t>
  </si>
  <si>
    <t>KC/DEL/73/SG
03.08.17</t>
  </si>
  <si>
    <t>BASIC VALUE (INR)/RATE (INR)</t>
  </si>
  <si>
    <t>QUANTITY/JOB</t>
  </si>
  <si>
    <t>GST Value (INR)</t>
  </si>
  <si>
    <t xml:space="preserve">A </t>
  </si>
  <si>
    <t>TRANSPORTATION ,P&amp;F, FREIGHT &amp; INSURANCE COST</t>
  </si>
  <si>
    <t>At actual</t>
  </si>
  <si>
    <t>B</t>
  </si>
  <si>
    <t>INSTALLATION / E&amp;C</t>
  </si>
  <si>
    <t>Addl.</t>
  </si>
  <si>
    <t>Addl</t>
  </si>
  <si>
    <t>Inclusive</t>
  </si>
  <si>
    <t>C</t>
  </si>
  <si>
    <t>GST @ 18 % on (A+B)</t>
  </si>
  <si>
    <t>TOTAL COST (INR)</t>
  </si>
  <si>
    <t>DELIVERY /
EX-WORKS</t>
  </si>
  <si>
    <t>6 weeks / 
Pune</t>
  </si>
  <si>
    <t>4 weeks /
Coimbatore</t>
  </si>
  <si>
    <t>4 weeks /
Ahmedabad</t>
  </si>
  <si>
    <t>4 weeks / 
Ahmedabad</t>
  </si>
  <si>
    <t>2 weeks /
Pune</t>
  </si>
  <si>
    <t>STATUS</t>
  </si>
  <si>
    <t>-</t>
  </si>
  <si>
    <t>L5</t>
  </si>
  <si>
    <t>L3</t>
  </si>
  <si>
    <t>L4</t>
  </si>
  <si>
    <t>L1</t>
  </si>
  <si>
    <t>L2</t>
  </si>
  <si>
    <t>All values in Lacs of INR</t>
  </si>
  <si>
    <t>COMMERCIAL TERMS: As per final offer (Ref.GD-229R1 dated 07.08.17) of Maxon Engineers (Gardner Denver)</t>
  </si>
  <si>
    <t>PAYMENT TERMS</t>
  </si>
  <si>
    <t>90% against receipt of materrial within 7 day and 
Balance 10% after satisafactory installation and commissioning and FAC or within 30 days after receipt of material whichever is earlier.</t>
  </si>
  <si>
    <t>P &amp; F</t>
  </si>
  <si>
    <t>Nil</t>
  </si>
  <si>
    <t>DELIVERY BY</t>
  </si>
  <si>
    <t>Mid-September, 2017</t>
  </si>
  <si>
    <t>WARRANTY</t>
  </si>
  <si>
    <t>5 years warranty on compressor, subject to warranty agreement</t>
  </si>
  <si>
    <t>ATTACHMENTS</t>
  </si>
  <si>
    <r>
      <rPr>
        <b/>
        <sz val="11"/>
        <color rgb="FF002060"/>
        <rFont val="Calibri"/>
        <charset val="134"/>
      </rPr>
      <t>Annexure 2</t>
    </r>
    <r>
      <rPr>
        <sz val="11"/>
        <color rgb="FF002060"/>
        <rFont val="Calibri"/>
        <charset val="134"/>
      </rPr>
      <t xml:space="preserve">:- Techno commercial offers from  all suppliers i.e Vedant equipsales,Innovative engineering, Maxon engineering , Elgi, Kaeser, Aircon Engineers </t>
    </r>
  </si>
  <si>
    <r>
      <rPr>
        <b/>
        <sz val="11"/>
        <color rgb="FF002060"/>
        <rFont val="Calibri"/>
        <charset val="134"/>
      </rPr>
      <t>Annexure 3</t>
    </r>
    <r>
      <rPr>
        <sz val="11"/>
        <color rgb="FF002060"/>
        <rFont val="Calibri"/>
        <charset val="134"/>
      </rPr>
      <t>:-Technical comparison</t>
    </r>
  </si>
  <si>
    <r>
      <rPr>
        <b/>
        <sz val="11"/>
        <color rgb="FF002060"/>
        <rFont val="Calibri"/>
        <charset val="134"/>
      </rPr>
      <t>Annexure 4</t>
    </r>
    <r>
      <rPr>
        <sz val="11"/>
        <color rgb="FF002060"/>
        <rFont val="Calibri"/>
        <charset val="134"/>
      </rPr>
      <t>:-Commercial comparison</t>
    </r>
  </si>
  <si>
    <t>RECOMMENDATIONS</t>
  </si>
  <si>
    <r>
      <rPr>
        <sz val="11"/>
        <color rgb="FF002060"/>
        <rFont val="Calibri"/>
        <charset val="134"/>
      </rPr>
      <t>We recommend to procure '</t>
    </r>
    <r>
      <rPr>
        <b/>
        <sz val="11"/>
        <color rgb="FF002060"/>
        <rFont val="Calibri"/>
        <charset val="134"/>
      </rPr>
      <t>Garden Denver'</t>
    </r>
    <r>
      <rPr>
        <sz val="11"/>
        <color rgb="FF002060"/>
        <rFont val="Calibri"/>
        <charset val="134"/>
      </rPr>
      <t xml:space="preserve"> make compressor from Maxon Engineering, Greater Noida at  </t>
    </r>
    <r>
      <rPr>
        <b/>
        <sz val="11"/>
        <color rgb="FF002060"/>
        <rFont val="Calibri"/>
        <charset val="134"/>
      </rPr>
      <t>gross cost</t>
    </r>
    <r>
      <rPr>
        <sz val="11"/>
        <color rgb="FF002060"/>
        <rFont val="Calibri"/>
        <charset val="134"/>
      </rPr>
      <t xml:space="preserve"> of </t>
    </r>
    <r>
      <rPr>
        <b/>
        <sz val="11"/>
        <color rgb="FF002060"/>
        <rFont val="Calibri"/>
        <charset val="134"/>
      </rPr>
      <t>Rs.5,83,319/</t>
    </r>
    <r>
      <rPr>
        <sz val="11"/>
        <color rgb="FF002060"/>
        <rFont val="Calibri"/>
        <charset val="134"/>
      </rPr>
      <t>-</t>
    </r>
    <r>
      <rPr>
        <b/>
        <sz val="11"/>
        <color rgb="FF002060"/>
        <rFont val="Calibri"/>
        <charset val="134"/>
      </rPr>
      <t>(Five lakhs eighty-three thousand three hundred and nineteen only).</t>
    </r>
  </si>
  <si>
    <t>INITIATED BY</t>
  </si>
  <si>
    <t>MILIND PATIL</t>
  </si>
  <si>
    <t>LAXMAN POPALGHAT</t>
  </si>
  <si>
    <t>AMITAVA SINHA</t>
  </si>
  <si>
    <t>APPROVED BY</t>
  </si>
  <si>
    <t>VIJAY ARORA</t>
  </si>
  <si>
    <t>PERCY MAHERNOSH</t>
  </si>
  <si>
    <t>SUMIT ISSAR</t>
  </si>
  <si>
    <t>Qty (No)</t>
  </si>
  <si>
    <t>Description</t>
  </si>
  <si>
    <t>INR</t>
  </si>
  <si>
    <t xml:space="preserve">Gardner Denver Model “L11RS-7.5A” FAD 65cfm, Oil Lubricated, Air Cooled, Variable Speed Motor Driven Rotary Screw Compressor for standard scope of supply as described in the subject offer.  </t>
  </si>
  <si>
    <t>2,99,000</t>
  </si>
  <si>
    <t xml:space="preserve">Gardner Denver Refrigerated Type Dryer Model “GD80” Capacity 80cfm Max. working pressure – 16kg  </t>
  </si>
  <si>
    <t xml:space="preserve">GARDNER DENVER Pre Filter – 05 Micron, 150 CFM, Model – G250P  </t>
  </si>
  <si>
    <t xml:space="preserve">GARDNER DENVER Post Filter – 01 Micron, 150 CFM, Model – G250X  </t>
  </si>
  <si>
    <t xml:space="preserve">01 No. AIR RECEIVER TANK – 1000 Liters  </t>
  </si>
  <si>
    <t xml:space="preserve">AUTO DRAIN VALVE FOR RECEIVER TANK – 230 VAC  </t>
  </si>
  <si>
    <t>Annexure - I</t>
  </si>
  <si>
    <t>Equipment</t>
  </si>
  <si>
    <t>Particulars</t>
  </si>
  <si>
    <t>Quantity</t>
  </si>
  <si>
    <t>Max flow required as per OEM</t>
  </si>
  <si>
    <t>Practical consumption</t>
  </si>
  <si>
    <t>Remarks</t>
  </si>
  <si>
    <t>LPM</t>
  </si>
  <si>
    <t>CFM</t>
  </si>
  <si>
    <t>Fluid drainage system- 2 nos</t>
  </si>
  <si>
    <t xml:space="preserve">4 vacuum pumps, one drill and Shock absorber drill </t>
  </si>
  <si>
    <t>PV: 2 nos. 
CV: 1 no.</t>
  </si>
  <si>
    <t>We are taking 3 units of fuel drainage system , 2 nos for ELV and 1 Nos for HCV. In one unit at a time we will operating 2 pumps and drill bit</t>
  </si>
  <si>
    <t>Petrol/diesel removal</t>
  </si>
  <si>
    <t>We are taking 2 units of diesel/petrol removal system . In one unit at a time we will operating 1 pumps and drill bit</t>
  </si>
  <si>
    <t xml:space="preserve">Tank - 3pumps </t>
  </si>
  <si>
    <t>It will be used once as per vehicle</t>
  </si>
  <si>
    <t>LPG/CNG recovery</t>
  </si>
  <si>
    <t xml:space="preserve">It will be done lot basis </t>
  </si>
  <si>
    <t>Tyre removal without damage</t>
  </si>
  <si>
    <t>It will operate regular</t>
  </si>
  <si>
    <t xml:space="preserve">Hand tools 8 nos </t>
  </si>
  <si>
    <t xml:space="preserve"> We have considered  Tools operating and cleaning parts at a time. Tools CFM taken from Chicago pnuematic tools manual</t>
  </si>
  <si>
    <t>Considering 80% loading</t>
  </si>
  <si>
    <t>Compressor recommended</t>
  </si>
  <si>
    <t xml:space="preserve">60 CFM </t>
  </si>
  <si>
    <t>ANNEXURE 3'</t>
  </si>
  <si>
    <t xml:space="preserve"> Technical Comparison for 60 cfm Air Compressor</t>
  </si>
  <si>
    <t>Sn</t>
  </si>
  <si>
    <t>Specifications</t>
  </si>
  <si>
    <t>Atlas copco</t>
  </si>
  <si>
    <t>IR</t>
  </si>
  <si>
    <t>Gardner denver</t>
  </si>
  <si>
    <t>Kaeser</t>
  </si>
  <si>
    <t>CFM rating of compressor</t>
  </si>
  <si>
    <t>56.5 cfm</t>
  </si>
  <si>
    <t>65 cfm</t>
  </si>
  <si>
    <t xml:space="preserve">Make </t>
  </si>
  <si>
    <t>Elgi</t>
  </si>
  <si>
    <t>Keser</t>
  </si>
  <si>
    <t>Model</t>
  </si>
  <si>
    <t>GA 11 VSD</t>
  </si>
  <si>
    <t>EG 11-7.5</t>
  </si>
  <si>
    <t xml:space="preserve">UP5-15-10-VFD </t>
  </si>
  <si>
    <t>L11RS-7.5A</t>
  </si>
  <si>
    <t xml:space="preserve">SK 22 T SFC </t>
  </si>
  <si>
    <t>Working pressure (bar)</t>
  </si>
  <si>
    <t>Motor rating (Kw/Hp)</t>
  </si>
  <si>
    <t>11 Kw</t>
  </si>
  <si>
    <t>15 Kw</t>
  </si>
  <si>
    <t>11 kw</t>
  </si>
  <si>
    <t>Motor class</t>
  </si>
  <si>
    <t>IE4</t>
  </si>
  <si>
    <t>TEFC</t>
  </si>
  <si>
    <t>IE3</t>
  </si>
  <si>
    <t>Motor cooling</t>
  </si>
  <si>
    <t>Oil</t>
  </si>
  <si>
    <t>Air cooled</t>
  </si>
  <si>
    <t>Drive to compressor</t>
  </si>
  <si>
    <t>Direct coupled</t>
  </si>
  <si>
    <t>Through gear</t>
  </si>
  <si>
    <t>Belt drive</t>
  </si>
  <si>
    <t>VFD available Yes/ No</t>
  </si>
  <si>
    <t xml:space="preserve">Y </t>
  </si>
  <si>
    <t>VFD Model</t>
  </si>
  <si>
    <t>_</t>
  </si>
  <si>
    <t>Allen Bradley</t>
  </si>
  <si>
    <t>Siemens</t>
  </si>
  <si>
    <t>VFD rating</t>
  </si>
  <si>
    <t>Suitable to motor</t>
  </si>
  <si>
    <t>Air dryer rating</t>
  </si>
  <si>
    <t>In-built</t>
  </si>
  <si>
    <t>100 cfm</t>
  </si>
  <si>
    <t>80 Cfm</t>
  </si>
  <si>
    <t>Refrigerant</t>
  </si>
  <si>
    <t>R134a</t>
  </si>
  <si>
    <t>Air reciever capacity (L)</t>
  </si>
  <si>
    <t>Air reciever max pressure
(Kg/cm2)</t>
  </si>
  <si>
    <t>Pre filter</t>
  </si>
  <si>
    <t>details not given</t>
  </si>
  <si>
    <t>1 micron</t>
  </si>
  <si>
    <t>1/5 micron</t>
  </si>
  <si>
    <t>Fine filter</t>
  </si>
  <si>
    <t>.01 micron</t>
  </si>
  <si>
    <t>01/0.01 micron</t>
  </si>
  <si>
    <t>HMI</t>
  </si>
  <si>
    <t xml:space="preserve">Dimension of Set in acoustic enclosure (L X W X H) mm </t>
  </si>
  <si>
    <t>1425 X 720 X 1470</t>
  </si>
  <si>
    <t>667 X 630 X 
1050</t>
  </si>
  <si>
    <t>750 X 1240 X 1260</t>
  </si>
  <si>
    <t>Weight of compressor in (Kgs).</t>
  </si>
  <si>
    <t>219 kg &amp; dryer weight separate</t>
  </si>
  <si>
    <t>Type of cooling</t>
  </si>
  <si>
    <t>Compressor max RPM</t>
  </si>
  <si>
    <t>Compressor min RPM</t>
  </si>
  <si>
    <t>Max. ambient temperature (degree celcius)</t>
  </si>
  <si>
    <t>Noise level db(A)</t>
  </si>
  <si>
    <t>Drain valve</t>
  </si>
  <si>
    <t>Zero air loss</t>
  </si>
  <si>
    <t xml:space="preserve">  'ANNEXURE 4'</t>
  </si>
  <si>
    <t>Commercial comparison for 60 CFM Air compressor</t>
  </si>
  <si>
    <t>Sr No</t>
  </si>
  <si>
    <t>SUPPLIER</t>
  </si>
  <si>
    <t>ATLAS COPOCO</t>
  </si>
  <si>
    <t>GARDNER DENVER</t>
  </si>
  <si>
    <t>KAESER</t>
  </si>
  <si>
    <t>Innovative Engineering</t>
  </si>
  <si>
    <t>Vedant Equipment Sales</t>
  </si>
  <si>
    <t>Aircon Engineers</t>
  </si>
  <si>
    <t xml:space="preserve">Maxon Engineering </t>
  </si>
  <si>
    <t>Laxmi tech,  Nasik</t>
  </si>
  <si>
    <t>Kaeser Compressors (I) Pvt Ltd, Delhi</t>
  </si>
  <si>
    <t>A</t>
  </si>
  <si>
    <t>DATE</t>
  </si>
  <si>
    <t>05.05.17</t>
  </si>
  <si>
    <t>05.08.17</t>
  </si>
  <si>
    <t>07.08.17</t>
  </si>
  <si>
    <t>18.04.17</t>
  </si>
  <si>
    <t>28.07.17</t>
  </si>
  <si>
    <t>23.07.17</t>
  </si>
  <si>
    <t>03.08.17</t>
  </si>
  <si>
    <t>17.07.17</t>
  </si>
  <si>
    <t xml:space="preserve">C </t>
  </si>
  <si>
    <t xml:space="preserve">VESSPL/SBKMSCL/1362
</t>
  </si>
  <si>
    <t xml:space="preserve">VESSPL/MM/16
</t>
  </si>
  <si>
    <t xml:space="preserve">SDS/2017/38
</t>
  </si>
  <si>
    <t xml:space="preserve">231F496
</t>
  </si>
  <si>
    <t xml:space="preserve">AE/000329/HSK
</t>
  </si>
  <si>
    <t xml:space="preserve">PI
</t>
  </si>
  <si>
    <t>GD-229R</t>
  </si>
  <si>
    <t>GD-229R1</t>
  </si>
  <si>
    <t>UQN/KCIPL/LT/1025/2017
QTN/17/KC/030/MahMSTC</t>
  </si>
  <si>
    <t>KC/DEL/73/SG</t>
  </si>
  <si>
    <t>Basic Cost of Supply of compressor (Rs)</t>
  </si>
  <si>
    <t>Basic Cost of VFD</t>
  </si>
  <si>
    <t>Basic cost of air dryer</t>
  </si>
  <si>
    <t>Basic cost of air reciever</t>
  </si>
  <si>
    <t>NA</t>
  </si>
  <si>
    <t>Auto darin valve for reciver</t>
  </si>
  <si>
    <t>Not mentioned</t>
  </si>
  <si>
    <t>Total Basic Cost Rs. (compressor with VFD+Dryer+Air reciever)</t>
  </si>
  <si>
    <t>GST@28% &amp; 18%</t>
  </si>
  <si>
    <t>Transportation,P&amp;F, Freight &amp; Insurance  Cost (Rs.)</t>
  </si>
  <si>
    <t>Additional</t>
  </si>
  <si>
    <t>Packing Forwarding cost(Rs.)</t>
  </si>
  <si>
    <t>Commissioning Assistance charges</t>
  </si>
  <si>
    <t>2500 per day +taxes+to/Fro</t>
  </si>
  <si>
    <t>Free 2 visits</t>
  </si>
  <si>
    <t>GST@18%</t>
  </si>
  <si>
    <t>Landed cost on site</t>
  </si>
  <si>
    <t>Delivery Period</t>
  </si>
  <si>
    <t>6-8 week</t>
  </si>
  <si>
    <t>4-6 week</t>
  </si>
  <si>
    <t>6 week</t>
  </si>
  <si>
    <t>4 weeks</t>
  </si>
  <si>
    <t>10 to 12 week</t>
  </si>
  <si>
    <t>ex stock</t>
  </si>
  <si>
    <t>Delivery  From</t>
  </si>
  <si>
    <t>Pune</t>
  </si>
  <si>
    <t>Coimbatore</t>
  </si>
  <si>
    <t>Ahmedabad</t>
  </si>
  <si>
    <t xml:space="preserve">Period of warranty </t>
  </si>
  <si>
    <t>12 month from commisioning / 18 from dispatch or 4000 running hours</t>
  </si>
  <si>
    <t>36 month from commisioning / 48 from dispatch</t>
  </si>
  <si>
    <t>72 month for airend &amp; 36 month from commisioning / 48month from dispatch for motor/tank/cooler</t>
  </si>
  <si>
    <t>12 month from commisioning / 18 from dispatch</t>
  </si>
  <si>
    <t>5 years with contractual agreement</t>
  </si>
  <si>
    <t>Terms  Of  Payment</t>
  </si>
  <si>
    <t>30% advance and balance aginst proforma</t>
  </si>
  <si>
    <t>90% against delivery within 7 day and 10% after instalation or within 30 days after reciept of material</t>
  </si>
  <si>
    <t>35% advance and balance aginst proforma</t>
  </si>
  <si>
    <t>90% against delivery within 7 day and 10% after installation or within 30 days after reciept of material</t>
  </si>
  <si>
    <t>50% advance and balance aginst proforma</t>
  </si>
  <si>
    <t>90% against delivery within 7 day and 
10% after installation or within 30 days after reciept of material</t>
  </si>
  <si>
    <t>Offer Validity</t>
  </si>
  <si>
    <t>30 days</t>
  </si>
  <si>
    <t>45 days</t>
  </si>
  <si>
    <t>Contact Person</t>
  </si>
  <si>
    <t>Bhusan Bokil</t>
  </si>
  <si>
    <t>Sudhakar Kadam 9922929065</t>
  </si>
  <si>
    <t>Sunil 9818337429</t>
  </si>
  <si>
    <t>Kedar Joshi #  9967701572</t>
  </si>
  <si>
    <t>Vijay # 9810077143</t>
  </si>
  <si>
    <t>Rajiv Kumar # 9810330920</t>
  </si>
  <si>
    <t>Sanjay Gupta # 9818398983</t>
  </si>
  <si>
    <t>Summary - Commercial</t>
  </si>
  <si>
    <t>SUPPLIERS / SERVICE PROVIDER</t>
  </si>
  <si>
    <t>Atlas Copco (Innovative engg)</t>
  </si>
  <si>
    <t>Atlas Copco (Vedant equip sales)</t>
  </si>
  <si>
    <t>IR (Aircon Engineer)</t>
  </si>
  <si>
    <t>Gardner Denver (Maxon Engg)</t>
  </si>
  <si>
    <t>Offer</t>
  </si>
  <si>
    <t>PRICE QUOTE</t>
  </si>
  <si>
    <t>Basic Value (INR)</t>
  </si>
  <si>
    <t>Transportation , Freight &amp; Insurance Cost</t>
  </si>
  <si>
    <t>Installation / E&amp;C</t>
  </si>
  <si>
    <t>GST @ 18 %</t>
  </si>
  <si>
    <t xml:space="preserve">Total Landed Cost </t>
  </si>
  <si>
    <t>Delivery</t>
  </si>
  <si>
    <t>6 weeks</t>
  </si>
  <si>
    <t>2 weeks</t>
  </si>
</sst>
</file>

<file path=xl/styles.xml><?xml version="1.0" encoding="utf-8"?>
<styleSheet xmlns="http://schemas.openxmlformats.org/spreadsheetml/2006/main">
  <numFmts count="6">
    <numFmt numFmtId="43" formatCode="_(* #,##0.00_);_(* \(#,##0.00\);_(* &quot;-&quot;??_);_(@_)"/>
    <numFmt numFmtId="42" formatCode="_(&quot;$&quot;* #,##0_);_(&quot;$&quot;* \(#,##0\);_(&quot;$&quot;* &quot;-&quot;_);_(@_)"/>
    <numFmt numFmtId="44" formatCode="_(&quot;$&quot;* #,##0.00_);_(&quot;$&quot;* \(#,##0.00\);_(&quot;$&quot;* &quot;-&quot;??_);_(@_)"/>
    <numFmt numFmtId="176" formatCode="_ * #,##0_ ;_ * \-#,##0_ ;_ * &quot;-&quot;_ ;_ @_ "/>
    <numFmt numFmtId="177" formatCode="_ * #,##0.00_ ;_ * \-#,##0.00_ ;_ * &quot;-&quot;??_ ;_ @_ "/>
    <numFmt numFmtId="178" formatCode="_ * #,##0_ ;_ * \-#,##0_ ;_ * &quot;-&quot;??_ ;_ @_ "/>
  </numFmts>
  <fonts count="58">
    <font>
      <sz val="11"/>
      <color theme="1"/>
      <name val="Calibri"/>
      <charset val="134"/>
      <scheme val="minor"/>
    </font>
    <font>
      <b/>
      <sz val="11"/>
      <color theme="1"/>
      <name val="Calibri"/>
      <charset val="134"/>
      <scheme val="minor"/>
    </font>
    <font>
      <b/>
      <sz val="20"/>
      <color theme="1"/>
      <name val="Calibri"/>
      <charset val="134"/>
      <scheme val="minor"/>
    </font>
    <font>
      <b/>
      <sz val="11"/>
      <color rgb="FF000000"/>
      <name val="Calibri"/>
      <charset val="134"/>
      <scheme val="minor"/>
    </font>
    <font>
      <b/>
      <sz val="12"/>
      <color rgb="FF000000"/>
      <name val="Calibri"/>
      <charset val="134"/>
    </font>
    <font>
      <b/>
      <u/>
      <sz val="11"/>
      <color theme="10"/>
      <name val="Calibri"/>
      <charset val="134"/>
    </font>
    <font>
      <b/>
      <i/>
      <sz val="11"/>
      <color rgb="FFFF0000"/>
      <name val="Calibri"/>
      <charset val="134"/>
      <scheme val="minor"/>
    </font>
    <font>
      <b/>
      <sz val="12"/>
      <color theme="1"/>
      <name val="Calibri"/>
      <charset val="134"/>
      <scheme val="minor"/>
    </font>
    <font>
      <sz val="20"/>
      <color theme="1"/>
      <name val="Calibri"/>
      <charset val="134"/>
      <scheme val="minor"/>
    </font>
    <font>
      <b/>
      <sz val="9"/>
      <color rgb="FF000000"/>
      <name val="Calibri"/>
      <charset val="134"/>
    </font>
    <font>
      <b/>
      <sz val="8"/>
      <color rgb="FF002060"/>
      <name val="Calibri"/>
      <charset val="134"/>
    </font>
    <font>
      <b/>
      <sz val="9"/>
      <color rgb="FF002060"/>
      <name val="Calibri"/>
      <charset val="134"/>
    </font>
    <font>
      <sz val="9.5"/>
      <color rgb="FF000000"/>
      <name val="Calibri"/>
      <charset val="134"/>
    </font>
    <font>
      <sz val="12"/>
      <color rgb="FF000000"/>
      <name val="Calibri"/>
      <charset val="134"/>
    </font>
    <font>
      <sz val="12"/>
      <color theme="1"/>
      <name val="Calibri"/>
      <charset val="134"/>
    </font>
    <font>
      <b/>
      <sz val="9.5"/>
      <color rgb="FF000000"/>
      <name val="Calibri"/>
      <charset val="134"/>
    </font>
    <font>
      <u/>
      <sz val="11"/>
      <color theme="10"/>
      <name val="Calibri"/>
      <charset val="134"/>
    </font>
    <font>
      <sz val="12"/>
      <color rgb="FF000000"/>
      <name val="Arial"/>
      <charset val="134"/>
    </font>
    <font>
      <sz val="12"/>
      <color theme="1"/>
      <name val="Verdana"/>
      <charset val="134"/>
    </font>
    <font>
      <sz val="4.5"/>
      <color rgb="FF000000"/>
      <name val="Arial"/>
      <charset val="134"/>
    </font>
    <font>
      <sz val="12"/>
      <color theme="1"/>
      <name val="Calibri"/>
      <charset val="134"/>
      <scheme val="minor"/>
    </font>
    <font>
      <sz val="14"/>
      <color theme="1"/>
      <name val="Calibri"/>
      <charset val="134"/>
      <scheme val="minor"/>
    </font>
    <font>
      <b/>
      <sz val="14"/>
      <color rgb="FF000000"/>
      <name val="Calibri"/>
      <charset val="134"/>
    </font>
    <font>
      <sz val="14"/>
      <color rgb="FF000000"/>
      <name val="Calibri"/>
      <charset val="134"/>
    </font>
    <font>
      <sz val="14"/>
      <color theme="1"/>
      <name val="Calibri"/>
      <charset val="134"/>
    </font>
    <font>
      <u/>
      <sz val="14"/>
      <color theme="10"/>
      <name val="Calibri"/>
      <charset val="134"/>
    </font>
    <font>
      <sz val="11"/>
      <color theme="1"/>
      <name val="Times New Roman"/>
      <charset val="134"/>
    </font>
    <font>
      <b/>
      <sz val="10"/>
      <color rgb="FF002060"/>
      <name val="Calibri"/>
      <charset val="134"/>
      <scheme val="minor"/>
    </font>
    <font>
      <sz val="10"/>
      <color rgb="FF002060"/>
      <name val="Calibri"/>
      <charset val="134"/>
      <scheme val="minor"/>
    </font>
    <font>
      <sz val="11"/>
      <color rgb="FF002060"/>
      <name val="Calibri"/>
      <charset val="134"/>
      <scheme val="minor"/>
    </font>
    <font>
      <b/>
      <sz val="14"/>
      <color rgb="FF002060"/>
      <name val="Calibri"/>
      <charset val="134"/>
      <scheme val="minor"/>
    </font>
    <font>
      <b/>
      <sz val="11"/>
      <color rgb="FF002060"/>
      <name val="Calibri"/>
      <charset val="134"/>
      <scheme val="minor"/>
    </font>
    <font>
      <b/>
      <sz val="11"/>
      <color rgb="FF002060"/>
      <name val="Calibri"/>
      <charset val="134"/>
    </font>
    <font>
      <b/>
      <u/>
      <sz val="11"/>
      <color rgb="FF002060"/>
      <name val="Calibri"/>
      <charset val="134"/>
    </font>
    <font>
      <b/>
      <sz val="12"/>
      <color rgb="FF002060"/>
      <name val="Calibri"/>
      <charset val="134"/>
      <scheme val="minor"/>
    </font>
    <font>
      <b/>
      <i/>
      <sz val="11"/>
      <color rgb="FF002060"/>
      <name val="Calibri"/>
      <charset val="134"/>
      <scheme val="minor"/>
    </font>
    <font>
      <b/>
      <sz val="9"/>
      <color rgb="FF002060"/>
      <name val="Calibri"/>
      <charset val="134"/>
      <scheme val="minor"/>
    </font>
    <font>
      <b/>
      <sz val="8"/>
      <color rgb="FF002060"/>
      <name val="Calibri"/>
      <charset val="134"/>
      <scheme val="minor"/>
    </font>
    <font>
      <sz val="11"/>
      <color theme="0"/>
      <name val="Calibri"/>
      <charset val="0"/>
      <scheme val="minor"/>
    </font>
    <font>
      <b/>
      <sz val="11"/>
      <color theme="3"/>
      <name val="Calibri"/>
      <charset val="134"/>
      <scheme val="minor"/>
    </font>
    <font>
      <u/>
      <sz val="11"/>
      <color rgb="FF800080"/>
      <name val="Calibri"/>
      <charset val="0"/>
      <scheme val="minor"/>
    </font>
    <font>
      <sz val="11"/>
      <color theme="1"/>
      <name val="Calibri"/>
      <charset val="134"/>
      <scheme val="minor"/>
    </font>
    <font>
      <b/>
      <sz val="13"/>
      <color theme="3"/>
      <name val="Calibri"/>
      <charset val="134"/>
      <scheme val="minor"/>
    </font>
    <font>
      <sz val="11"/>
      <color theme="1"/>
      <name val="Calibri"/>
      <charset val="0"/>
      <scheme val="minor"/>
    </font>
    <font>
      <i/>
      <sz val="11"/>
      <color rgb="FF7F7F7F"/>
      <name val="Calibri"/>
      <charset val="0"/>
      <scheme val="minor"/>
    </font>
    <font>
      <b/>
      <sz val="11"/>
      <color rgb="FFFFFFFF"/>
      <name val="Calibri"/>
      <charset val="0"/>
      <scheme val="minor"/>
    </font>
    <font>
      <sz val="11"/>
      <color rgb="FF9C0006"/>
      <name val="Calibri"/>
      <charset val="0"/>
      <scheme val="minor"/>
    </font>
    <font>
      <b/>
      <sz val="11"/>
      <color theme="1"/>
      <name val="Calibri"/>
      <charset val="0"/>
      <scheme val="minor"/>
    </font>
    <font>
      <sz val="11"/>
      <color rgb="FFFA7D00"/>
      <name val="Calibri"/>
      <charset val="0"/>
      <scheme val="minor"/>
    </font>
    <font>
      <b/>
      <sz val="15"/>
      <color theme="3"/>
      <name val="Calibri"/>
      <charset val="134"/>
      <scheme val="minor"/>
    </font>
    <font>
      <sz val="10"/>
      <name val="Arial"/>
      <charset val="134"/>
    </font>
    <font>
      <b/>
      <sz val="11"/>
      <color rgb="FF3F3F3F"/>
      <name val="Calibri"/>
      <charset val="0"/>
      <scheme val="minor"/>
    </font>
    <font>
      <sz val="11"/>
      <color rgb="FF9C6500"/>
      <name val="Calibri"/>
      <charset val="0"/>
      <scheme val="minor"/>
    </font>
    <font>
      <b/>
      <sz val="11"/>
      <color rgb="FFFA7D00"/>
      <name val="Calibri"/>
      <charset val="0"/>
      <scheme val="minor"/>
    </font>
    <font>
      <sz val="11"/>
      <color rgb="FF006100"/>
      <name val="Calibri"/>
      <charset val="0"/>
      <scheme val="minor"/>
    </font>
    <font>
      <sz val="11"/>
      <color rgb="FFFF0000"/>
      <name val="Calibri"/>
      <charset val="0"/>
      <scheme val="minor"/>
    </font>
    <font>
      <sz val="11"/>
      <color rgb="FF3F3F76"/>
      <name val="Calibri"/>
      <charset val="0"/>
      <scheme val="minor"/>
    </font>
    <font>
      <b/>
      <sz val="18"/>
      <color theme="3"/>
      <name val="Calibri"/>
      <charset val="134"/>
      <scheme val="minor"/>
    </font>
  </fonts>
  <fills count="4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D9D9D9"/>
        <bgColor indexed="64"/>
      </patternFill>
    </fill>
    <fill>
      <patternFill patternType="solid">
        <fgColor rgb="FFFFFFFF"/>
        <bgColor indexed="64"/>
      </patternFill>
    </fill>
    <fill>
      <patternFill patternType="solid">
        <fgColor theme="0" tint="-0.0499893185216834"/>
        <bgColor indexed="64"/>
      </patternFill>
    </fill>
    <fill>
      <patternFill patternType="solid">
        <fgColor rgb="FFC6E0B4"/>
        <bgColor indexed="64"/>
      </patternFill>
    </fill>
    <fill>
      <patternFill patternType="solid">
        <fgColor theme="4" tint="0.799981688894314"/>
        <bgColor indexed="64"/>
      </patternFill>
    </fill>
    <fill>
      <patternFill patternType="solid">
        <fgColor theme="8"/>
        <bgColor indexed="64"/>
      </patternFill>
    </fill>
    <fill>
      <patternFill patternType="solid">
        <fgColor theme="4" tint="0.399975585192419"/>
        <bgColor indexed="64"/>
      </patternFill>
    </fill>
    <fill>
      <patternFill patternType="solid">
        <fgColor theme="4"/>
        <bgColor indexed="64"/>
      </patternFill>
    </fill>
    <fill>
      <patternFill patternType="solid">
        <fgColor theme="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rgb="FFFFFFCC"/>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FFCC99"/>
        <bgColor indexed="64"/>
      </patternFill>
    </fill>
    <fill>
      <patternFill patternType="solid">
        <fgColor theme="5" tint="0.599993896298105"/>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top style="medium">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52">
    <xf numFmtId="0" fontId="0" fillId="0" borderId="0"/>
    <xf numFmtId="0" fontId="43" fillId="16" borderId="0" applyNumberFormat="0" applyBorder="0" applyAlignment="0" applyProtection="0">
      <alignment vertical="center"/>
    </xf>
    <xf numFmtId="177" fontId="0" fillId="0" borderId="0" applyFont="0" applyFill="0" applyBorder="0" applyAlignment="0" applyProtection="0"/>
    <xf numFmtId="176" fontId="41" fillId="0" borderId="0" applyFont="0" applyFill="0" applyBorder="0" applyAlignment="0" applyProtection="0">
      <alignment vertical="center"/>
    </xf>
    <xf numFmtId="42"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41" fillId="0" borderId="0" applyFont="0" applyFill="0" applyBorder="0" applyAlignment="0" applyProtection="0">
      <alignment vertical="center"/>
    </xf>
    <xf numFmtId="0" fontId="45" fillId="17" borderId="34" applyNumberFormat="0" applyAlignment="0" applyProtection="0">
      <alignment vertical="center"/>
    </xf>
    <xf numFmtId="0" fontId="42" fillId="0" borderId="32" applyNumberFormat="0" applyFill="0" applyAlignment="0" applyProtection="0">
      <alignment vertical="center"/>
    </xf>
    <xf numFmtId="0" fontId="41" fillId="15" borderId="33" applyNumberFormat="0" applyFont="0" applyAlignment="0" applyProtection="0">
      <alignment vertical="center"/>
    </xf>
    <xf numFmtId="0" fontId="16" fillId="0" borderId="0" applyNumberFormat="0" applyFill="0" applyBorder="0" applyAlignment="0" applyProtection="0">
      <alignment vertical="top"/>
      <protection locked="0"/>
    </xf>
    <xf numFmtId="0" fontId="38" fillId="25" borderId="0" applyNumberFormat="0" applyBorder="0" applyAlignment="0" applyProtection="0">
      <alignment vertical="center"/>
    </xf>
    <xf numFmtId="0" fontId="40" fillId="0" borderId="0" applyNumberFormat="0" applyFill="0" applyBorder="0" applyAlignment="0" applyProtection="0">
      <alignment vertical="center"/>
    </xf>
    <xf numFmtId="0" fontId="43" fillId="14" borderId="0" applyNumberFormat="0" applyBorder="0" applyAlignment="0" applyProtection="0">
      <alignment vertical="center"/>
    </xf>
    <xf numFmtId="0" fontId="55" fillId="0" borderId="0" applyNumberFormat="0" applyFill="0" applyBorder="0" applyAlignment="0" applyProtection="0">
      <alignment vertical="center"/>
    </xf>
    <xf numFmtId="0" fontId="43" fillId="39" borderId="0" applyNumberFormat="0" applyBorder="0" applyAlignment="0" applyProtection="0">
      <alignment vertical="center"/>
    </xf>
    <xf numFmtId="0" fontId="57"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9" fillId="0" borderId="32" applyNumberFormat="0" applyFill="0" applyAlignment="0" applyProtection="0">
      <alignment vertical="center"/>
    </xf>
    <xf numFmtId="0" fontId="39" fillId="0" borderId="31" applyNumberFormat="0" applyFill="0" applyAlignment="0" applyProtection="0">
      <alignment vertical="center"/>
    </xf>
    <xf numFmtId="0" fontId="39" fillId="0" borderId="0" applyNumberFormat="0" applyFill="0" applyBorder="0" applyAlignment="0" applyProtection="0">
      <alignment vertical="center"/>
    </xf>
    <xf numFmtId="0" fontId="56" fillId="38" borderId="38" applyNumberFormat="0" applyAlignment="0" applyProtection="0">
      <alignment vertical="center"/>
    </xf>
    <xf numFmtId="0" fontId="38" fillId="31" borderId="0" applyNumberFormat="0" applyBorder="0" applyAlignment="0" applyProtection="0">
      <alignment vertical="center"/>
    </xf>
    <xf numFmtId="0" fontId="54" fillId="35" borderId="0" applyNumberFormat="0" applyBorder="0" applyAlignment="0" applyProtection="0">
      <alignment vertical="center"/>
    </xf>
    <xf numFmtId="0" fontId="51" fillId="30" borderId="37" applyNumberFormat="0" applyAlignment="0" applyProtection="0">
      <alignment vertical="center"/>
    </xf>
    <xf numFmtId="0" fontId="43" fillId="29" borderId="0" applyNumberFormat="0" applyBorder="0" applyAlignment="0" applyProtection="0">
      <alignment vertical="center"/>
    </xf>
    <xf numFmtId="0" fontId="53" fillId="30" borderId="38" applyNumberFormat="0" applyAlignment="0" applyProtection="0">
      <alignment vertical="center"/>
    </xf>
    <xf numFmtId="0" fontId="48" fillId="0" borderId="36" applyNumberFormat="0" applyFill="0" applyAlignment="0" applyProtection="0">
      <alignment vertical="center"/>
    </xf>
    <xf numFmtId="0" fontId="47" fillId="0" borderId="35" applyNumberFormat="0" applyFill="0" applyAlignment="0" applyProtection="0">
      <alignment vertical="center"/>
    </xf>
    <xf numFmtId="0" fontId="46" fillId="21" borderId="0" applyNumberFormat="0" applyBorder="0" applyAlignment="0" applyProtection="0">
      <alignment vertical="center"/>
    </xf>
    <xf numFmtId="0" fontId="52" fillId="34" borderId="0" applyNumberFormat="0" applyBorder="0" applyAlignment="0" applyProtection="0">
      <alignment vertical="center"/>
    </xf>
    <xf numFmtId="0" fontId="38" fillId="11" borderId="0" applyNumberFormat="0" applyBorder="0" applyAlignment="0" applyProtection="0">
      <alignment vertical="center"/>
    </xf>
    <xf numFmtId="0" fontId="50" fillId="0" borderId="0"/>
    <xf numFmtId="0" fontId="43" fillId="13" borderId="0" applyNumberFormat="0" applyBorder="0" applyAlignment="0" applyProtection="0">
      <alignment vertical="center"/>
    </xf>
    <xf numFmtId="0" fontId="38" fillId="10" borderId="0" applyNumberFormat="0" applyBorder="0" applyAlignment="0" applyProtection="0">
      <alignment vertical="center"/>
    </xf>
    <xf numFmtId="0" fontId="38" fillId="12" borderId="0" applyNumberFormat="0" applyBorder="0" applyAlignment="0" applyProtection="0">
      <alignment vertical="center"/>
    </xf>
    <xf numFmtId="0" fontId="43" fillId="37" borderId="0" applyNumberFormat="0" applyBorder="0" applyAlignment="0" applyProtection="0">
      <alignment vertical="center"/>
    </xf>
    <xf numFmtId="0" fontId="20" fillId="0" borderId="0"/>
    <xf numFmtId="0" fontId="43" fillId="28" borderId="0" applyNumberFormat="0" applyBorder="0" applyAlignment="0" applyProtection="0">
      <alignment vertical="center"/>
    </xf>
    <xf numFmtId="0" fontId="38" fillId="20" borderId="0" applyNumberFormat="0" applyBorder="0" applyAlignment="0" applyProtection="0">
      <alignment vertical="center"/>
    </xf>
    <xf numFmtId="0" fontId="38" fillId="24" borderId="0" applyNumberFormat="0" applyBorder="0" applyAlignment="0" applyProtection="0">
      <alignment vertical="center"/>
    </xf>
    <xf numFmtId="0" fontId="43" fillId="19" borderId="0" applyNumberFormat="0" applyBorder="0" applyAlignment="0" applyProtection="0">
      <alignment vertical="center"/>
    </xf>
    <xf numFmtId="0" fontId="38" fillId="23" borderId="0" applyNumberFormat="0" applyBorder="0" applyAlignment="0" applyProtection="0">
      <alignment vertical="center"/>
    </xf>
    <xf numFmtId="0" fontId="43" fillId="27" borderId="0" applyNumberFormat="0" applyBorder="0" applyAlignment="0" applyProtection="0">
      <alignment vertical="center"/>
    </xf>
    <xf numFmtId="0" fontId="43" fillId="33" borderId="0" applyNumberFormat="0" applyBorder="0" applyAlignment="0" applyProtection="0">
      <alignment vertical="center"/>
    </xf>
    <xf numFmtId="0" fontId="38" fillId="9" borderId="0" applyNumberFormat="0" applyBorder="0" applyAlignment="0" applyProtection="0">
      <alignment vertical="center"/>
    </xf>
    <xf numFmtId="0" fontId="43" fillId="26" borderId="0" applyNumberFormat="0" applyBorder="0" applyAlignment="0" applyProtection="0">
      <alignment vertical="center"/>
    </xf>
    <xf numFmtId="0" fontId="38" fillId="36" borderId="0" applyNumberFormat="0" applyBorder="0" applyAlignment="0" applyProtection="0">
      <alignment vertical="center"/>
    </xf>
    <xf numFmtId="0" fontId="38" fillId="22" borderId="0" applyNumberFormat="0" applyBorder="0" applyAlignment="0" applyProtection="0">
      <alignment vertical="center"/>
    </xf>
    <xf numFmtId="0" fontId="43" fillId="32" borderId="0" applyNumberFormat="0" applyBorder="0" applyAlignment="0" applyProtection="0">
      <alignment vertical="center"/>
    </xf>
    <xf numFmtId="0" fontId="38" fillId="18" borderId="0" applyNumberFormat="0" applyBorder="0" applyAlignment="0" applyProtection="0">
      <alignment vertical="center"/>
    </xf>
    <xf numFmtId="43" fontId="50" fillId="0" borderId="0" applyFont="0" applyFill="0" applyBorder="0" applyAlignment="0" applyProtection="0"/>
  </cellStyleXfs>
  <cellXfs count="209">
    <xf numFmtId="0" fontId="0" fillId="0" borderId="0" xfId="0"/>
    <xf numFmtId="0" fontId="1" fillId="0" borderId="0" xfId="0" applyFont="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2" borderId="5" xfId="0" applyFont="1" applyFill="1" applyBorder="1" applyAlignment="1">
      <alignment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3" fillId="2" borderId="7" xfId="0" applyFont="1" applyFill="1" applyBorder="1"/>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3" fillId="0" borderId="10" xfId="0" applyFont="1" applyBorder="1"/>
    <xf numFmtId="0" fontId="3" fillId="0" borderId="11" xfId="0" applyFont="1" applyBorder="1"/>
    <xf numFmtId="0" fontId="3" fillId="0" borderId="12" xfId="0" applyFont="1" applyBorder="1"/>
    <xf numFmtId="177" fontId="3" fillId="0" borderId="11" xfId="2" applyFont="1" applyBorder="1" applyAlignment="1">
      <alignment horizontal="center" vertical="center"/>
    </xf>
    <xf numFmtId="177" fontId="3" fillId="0" borderId="12" xfId="2" applyFont="1" applyBorder="1" applyAlignment="1">
      <alignment horizontal="center" vertical="center"/>
    </xf>
    <xf numFmtId="0" fontId="5" fillId="0" borderId="10" xfId="10" applyFont="1" applyBorder="1" applyAlignment="1" applyProtection="1"/>
    <xf numFmtId="0" fontId="3" fillId="0" borderId="10" xfId="0" applyFont="1" applyBorder="1" applyAlignment="1">
      <alignment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178" fontId="3" fillId="0" borderId="11" xfId="2" applyNumberFormat="1" applyFont="1" applyBorder="1" applyAlignment="1">
      <alignment horizontal="center" vertical="center"/>
    </xf>
    <xf numFmtId="178" fontId="3" fillId="0" borderId="12" xfId="2" applyNumberFormat="1" applyFont="1" applyBorder="1" applyAlignment="1">
      <alignment horizontal="center" vertical="center"/>
    </xf>
    <xf numFmtId="177" fontId="3" fillId="0" borderId="14" xfId="2" applyFont="1" applyBorder="1" applyAlignment="1">
      <alignment horizontal="center" vertical="center"/>
    </xf>
    <xf numFmtId="177" fontId="3" fillId="0" borderId="15" xfId="2" applyFont="1" applyBorder="1" applyAlignment="1">
      <alignment horizontal="center" vertical="center"/>
    </xf>
    <xf numFmtId="0" fontId="1" fillId="0" borderId="10"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6" fillId="0" borderId="3" xfId="0" applyFont="1" applyBorder="1"/>
    <xf numFmtId="0" fontId="0" fillId="0" borderId="4" xfId="0" applyBorder="1"/>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4" fillId="2" borderId="18" xfId="0" applyFont="1" applyFill="1" applyBorder="1" applyAlignment="1">
      <alignment horizontal="center" vertical="center" wrapText="1"/>
    </xf>
    <xf numFmtId="177" fontId="3" fillId="3" borderId="12" xfId="2" applyFont="1" applyFill="1" applyBorder="1" applyAlignment="1">
      <alignment horizontal="center" vertical="center"/>
    </xf>
    <xf numFmtId="0" fontId="1" fillId="0" borderId="19" xfId="0" applyFont="1" applyBorder="1" applyAlignment="1">
      <alignment horizontal="center" vertical="center"/>
    </xf>
    <xf numFmtId="0" fontId="0" fillId="0" borderId="17" xfId="0" applyBorder="1"/>
    <xf numFmtId="43" fontId="0" fillId="0" borderId="0" xfId="0" applyNumberFormat="1"/>
    <xf numFmtId="0" fontId="7" fillId="0" borderId="0" xfId="0" applyFont="1"/>
    <xf numFmtId="0" fontId="0" fillId="0" borderId="0" xfId="0" applyAlignment="1">
      <alignment wrapText="1"/>
    </xf>
    <xf numFmtId="0" fontId="0" fillId="0" borderId="0" xfId="0" applyAlignment="1">
      <alignment horizontal="center"/>
    </xf>
    <xf numFmtId="0" fontId="8" fillId="0" borderId="20" xfId="0" applyFont="1" applyBorder="1" applyAlignment="1">
      <alignment horizontal="center" vertical="center"/>
    </xf>
    <xf numFmtId="0" fontId="9" fillId="4" borderId="21" xfId="0" applyFont="1" applyFill="1" applyBorder="1" applyAlignment="1">
      <alignment horizontal="center" vertical="center" wrapText="1"/>
    </xf>
    <xf numFmtId="0" fontId="9" fillId="4" borderId="0" xfId="0" applyFont="1" applyFill="1" applyBorder="1" applyAlignment="1">
      <alignment horizontal="center" vertical="center" wrapText="1"/>
    </xf>
    <xf numFmtId="0" fontId="9" fillId="4" borderId="20"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2" borderId="20"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1" fillId="2" borderId="24"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2" fillId="0" borderId="20" xfId="0" applyFont="1" applyBorder="1" applyAlignment="1">
      <alignment horizontal="center" vertical="center" wrapText="1"/>
    </xf>
    <xf numFmtId="0" fontId="12" fillId="0" borderId="20" xfId="0" applyFont="1" applyBorder="1" applyAlignment="1">
      <alignment vertical="center" wrapText="1"/>
    </xf>
    <xf numFmtId="3" fontId="13" fillId="0" borderId="20" xfId="0" applyNumberFormat="1" applyFont="1" applyBorder="1" applyAlignment="1">
      <alignment horizontal="center" vertical="center" wrapText="1"/>
    </xf>
    <xf numFmtId="0" fontId="14" fillId="0" borderId="20"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1" fontId="14" fillId="0" borderId="20" xfId="0" applyNumberFormat="1" applyFont="1" applyBorder="1" applyAlignment="1">
      <alignment horizontal="center" vertical="center" wrapText="1"/>
    </xf>
    <xf numFmtId="1" fontId="14" fillId="0" borderId="25" xfId="0" applyNumberFormat="1" applyFont="1" applyBorder="1" applyAlignment="1">
      <alignment horizontal="center" vertical="center" wrapText="1"/>
    </xf>
    <xf numFmtId="0" fontId="15" fillId="0" borderId="20" xfId="0" applyFont="1" applyBorder="1" applyAlignment="1">
      <alignment vertical="center" wrapText="1"/>
    </xf>
    <xf numFmtId="3" fontId="4" fillId="0" borderId="20" xfId="0" applyNumberFormat="1" applyFont="1" applyBorder="1" applyAlignment="1">
      <alignment horizontal="center" vertical="center" wrapText="1"/>
    </xf>
    <xf numFmtId="0" fontId="16" fillId="0" borderId="0" xfId="10" applyFill="1" applyAlignment="1" applyProtection="1"/>
    <xf numFmtId="0" fontId="13" fillId="0" borderId="20" xfId="0" applyFont="1" applyBorder="1" applyAlignment="1">
      <alignment horizontal="center" vertical="center" wrapText="1"/>
    </xf>
    <xf numFmtId="1" fontId="13" fillId="0" borderId="20" xfId="0" applyNumberFormat="1" applyFont="1" applyBorder="1" applyAlignment="1">
      <alignment horizontal="center" vertical="center" wrapText="1"/>
    </xf>
    <xf numFmtId="0" fontId="16" fillId="0" borderId="20" xfId="10" applyBorder="1" applyAlignment="1" applyProtection="1">
      <alignment vertical="center" wrapText="1"/>
    </xf>
    <xf numFmtId="0" fontId="4" fillId="0" borderId="20" xfId="0" applyFont="1" applyBorder="1" applyAlignment="1">
      <alignment horizontal="center" vertical="center" wrapText="1"/>
    </xf>
    <xf numFmtId="0" fontId="4" fillId="0" borderId="26" xfId="0" applyFont="1" applyFill="1" applyBorder="1" applyAlignment="1">
      <alignment vertical="center" wrapText="1"/>
    </xf>
    <xf numFmtId="0" fontId="13" fillId="0" borderId="0" xfId="0" applyFont="1" applyBorder="1" applyAlignment="1">
      <alignment horizontal="center" vertical="center" wrapText="1"/>
    </xf>
    <xf numFmtId="0" fontId="13" fillId="5" borderId="27" xfId="0" applyFont="1" applyFill="1" applyBorder="1" applyAlignment="1">
      <alignment horizontal="center" vertical="center" wrapText="1"/>
    </xf>
    <xf numFmtId="0" fontId="12" fillId="0" borderId="20" xfId="0" applyFont="1" applyBorder="1" applyAlignment="1">
      <alignment horizontal="left" vertical="center" wrapText="1"/>
    </xf>
    <xf numFmtId="0" fontId="14" fillId="0" borderId="20" xfId="0" applyFont="1" applyBorder="1" applyAlignment="1">
      <alignment horizontal="center" vertical="top" wrapText="1"/>
    </xf>
    <xf numFmtId="0" fontId="13" fillId="0" borderId="20" xfId="0" applyFont="1" applyBorder="1" applyAlignment="1">
      <alignment horizontal="left" vertical="top" wrapText="1"/>
    </xf>
    <xf numFmtId="0" fontId="17" fillId="0" borderId="20" xfId="0" applyFont="1" applyBorder="1" applyAlignment="1">
      <alignment horizontal="center" vertical="center" wrapText="1"/>
    </xf>
    <xf numFmtId="0" fontId="18" fillId="0" borderId="28"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9" xfId="0" applyFont="1" applyBorder="1" applyAlignment="1">
      <alignment horizontal="center" vertical="center" wrapText="1"/>
    </xf>
    <xf numFmtId="0" fontId="19" fillId="0" borderId="20" xfId="0" applyFont="1" applyBorder="1" applyAlignment="1">
      <alignment horizontal="center" vertical="center"/>
    </xf>
    <xf numFmtId="0" fontId="0" fillId="0" borderId="20" xfId="0" applyBorder="1"/>
    <xf numFmtId="0" fontId="20" fillId="0" borderId="20" xfId="0" applyFont="1" applyBorder="1" applyAlignment="1">
      <alignment horizontal="center"/>
    </xf>
    <xf numFmtId="0" fontId="4" fillId="0" borderId="29" xfId="0" applyFont="1" applyFill="1" applyBorder="1" applyAlignment="1">
      <alignment horizontal="center" vertical="center" wrapText="1"/>
    </xf>
    <xf numFmtId="0" fontId="4" fillId="6" borderId="23" xfId="0" applyFont="1" applyFill="1" applyBorder="1" applyAlignment="1">
      <alignment horizontal="center" vertical="center" wrapText="1"/>
    </xf>
    <xf numFmtId="0" fontId="4" fillId="6" borderId="22" xfId="0" applyFont="1" applyFill="1" applyBorder="1" applyAlignment="1">
      <alignment horizontal="center" vertical="center" wrapText="1"/>
    </xf>
    <xf numFmtId="0" fontId="4" fillId="6" borderId="29" xfId="0" applyFont="1" applyFill="1" applyBorder="1" applyAlignment="1">
      <alignment horizontal="center" vertical="center" wrapText="1"/>
    </xf>
    <xf numFmtId="0" fontId="9" fillId="4" borderId="23"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9" fillId="2" borderId="29" xfId="0" applyFont="1" applyFill="1" applyBorder="1" applyAlignment="1">
      <alignment horizontal="center" vertical="center" wrapText="1"/>
    </xf>
    <xf numFmtId="3" fontId="13" fillId="0" borderId="24" xfId="0" applyNumberFormat="1" applyFont="1" applyBorder="1" applyAlignment="1">
      <alignment horizontal="center" vertical="center" wrapText="1"/>
    </xf>
    <xf numFmtId="3" fontId="13" fillId="0" borderId="25" xfId="0" applyNumberFormat="1" applyFont="1" applyBorder="1" applyAlignment="1">
      <alignment horizontal="center" vertical="center" wrapText="1"/>
    </xf>
    <xf numFmtId="3" fontId="13" fillId="0" borderId="26" xfId="0" applyNumberFormat="1" applyFont="1" applyBorder="1" applyAlignment="1">
      <alignment horizontal="center" vertical="center" wrapText="1"/>
    </xf>
    <xf numFmtId="3" fontId="4" fillId="6" borderId="20" xfId="0" applyNumberFormat="1" applyFont="1" applyFill="1" applyBorder="1" applyAlignment="1">
      <alignment horizontal="center" vertical="center" wrapText="1"/>
    </xf>
    <xf numFmtId="0" fontId="0" fillId="0" borderId="20" xfId="0" applyBorder="1" applyAlignment="1">
      <alignment horizontal="center"/>
    </xf>
    <xf numFmtId="0" fontId="13" fillId="0" borderId="22" xfId="0" applyFont="1" applyBorder="1" applyAlignment="1">
      <alignment horizontal="center" vertical="center" wrapText="1"/>
    </xf>
    <xf numFmtId="0" fontId="21" fillId="0" borderId="0" xfId="0" applyFont="1" applyAlignment="1">
      <alignment horizontal="center"/>
    </xf>
    <xf numFmtId="0" fontId="21" fillId="0" borderId="0" xfId="0" applyFont="1"/>
    <xf numFmtId="0" fontId="8" fillId="0" borderId="0" xfId="0" applyFont="1" applyAlignment="1">
      <alignment horizontal="center" vertical="center"/>
    </xf>
    <xf numFmtId="0" fontId="8" fillId="0" borderId="4" xfId="0" applyFont="1" applyBorder="1" applyAlignment="1">
      <alignment horizontal="center" vertical="center"/>
    </xf>
    <xf numFmtId="0" fontId="22" fillId="0" borderId="1" xfId="0" applyFont="1" applyFill="1" applyBorder="1" applyAlignment="1">
      <alignment horizontal="center" vertical="center" wrapText="1"/>
    </xf>
    <xf numFmtId="0" fontId="22" fillId="0" borderId="2"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22" fillId="0" borderId="17" xfId="0" applyFont="1" applyFill="1" applyBorder="1" applyAlignment="1">
      <alignment horizontal="center" vertical="center" wrapText="1"/>
    </xf>
    <xf numFmtId="0" fontId="22" fillId="0" borderId="25"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3" fillId="0" borderId="20" xfId="0" applyFont="1" applyFill="1" applyBorder="1" applyAlignment="1">
      <alignment horizontal="center" vertical="center" wrapText="1"/>
    </xf>
    <xf numFmtId="0" fontId="23" fillId="0" borderId="20" xfId="0" applyFont="1" applyFill="1" applyBorder="1" applyAlignment="1">
      <alignment vertical="center" wrapText="1"/>
    </xf>
    <xf numFmtId="0" fontId="23" fillId="6" borderId="20" xfId="0" applyFont="1" applyFill="1" applyBorder="1" applyAlignment="1">
      <alignment horizontal="center" vertical="center" wrapText="1"/>
    </xf>
    <xf numFmtId="0" fontId="24" fillId="0" borderId="23" xfId="0" applyFont="1" applyBorder="1" applyAlignment="1">
      <alignment horizontal="center" vertical="center" wrapText="1"/>
    </xf>
    <xf numFmtId="0" fontId="23" fillId="0" borderId="20" xfId="0" applyFont="1" applyFill="1" applyBorder="1" applyAlignment="1">
      <alignment horizontal="left" vertical="center" wrapText="1" indent="1"/>
    </xf>
    <xf numFmtId="0" fontId="23" fillId="6" borderId="20" xfId="0" applyFont="1" applyFill="1" applyBorder="1" applyAlignment="1">
      <alignment horizontal="left" vertical="center" wrapText="1" indent="1"/>
    </xf>
    <xf numFmtId="0" fontId="24" fillId="6" borderId="23" xfId="0" applyFont="1" applyFill="1" applyBorder="1" applyAlignment="1">
      <alignment horizontal="center" vertical="center" wrapText="1"/>
    </xf>
    <xf numFmtId="0" fontId="23" fillId="0" borderId="20" xfId="0" applyNumberFormat="1" applyFont="1" applyFill="1" applyBorder="1" applyAlignment="1">
      <alignment horizontal="center" vertical="center" wrapText="1"/>
    </xf>
    <xf numFmtId="0" fontId="23" fillId="6" borderId="20" xfId="0" applyNumberFormat="1" applyFont="1" applyFill="1" applyBorder="1" applyAlignment="1">
      <alignment horizontal="center" vertical="center" wrapText="1"/>
    </xf>
    <xf numFmtId="0" fontId="24" fillId="0" borderId="20" xfId="0" applyFont="1" applyBorder="1" applyAlignment="1">
      <alignment vertical="center"/>
    </xf>
    <xf numFmtId="0" fontId="25" fillId="0" borderId="0" xfId="10" applyFont="1" applyAlignment="1" applyProtection="1"/>
    <xf numFmtId="0" fontId="7" fillId="0" borderId="0" xfId="0" applyFont="1" applyAlignment="1">
      <alignment horizontal="center"/>
    </xf>
    <xf numFmtId="0" fontId="1" fillId="0" borderId="20" xfId="0" applyFont="1" applyBorder="1" applyAlignment="1">
      <alignment horizontal="center" vertical="center"/>
    </xf>
    <xf numFmtId="0" fontId="1" fillId="0" borderId="20" xfId="0" applyFont="1" applyBorder="1" applyAlignment="1">
      <alignment horizontal="center"/>
    </xf>
    <xf numFmtId="0" fontId="26" fillId="2" borderId="20" xfId="0" applyFont="1" applyFill="1" applyBorder="1" applyAlignment="1">
      <alignment vertical="center" wrapText="1"/>
    </xf>
    <xf numFmtId="0" fontId="0" fillId="0" borderId="20" xfId="0" applyBorder="1" applyAlignment="1">
      <alignment horizontal="center" vertical="center"/>
    </xf>
    <xf numFmtId="1" fontId="0" fillId="0" borderId="20" xfId="0" applyNumberFormat="1" applyBorder="1" applyAlignment="1">
      <alignment horizontal="center" vertical="center"/>
    </xf>
    <xf numFmtId="0" fontId="0" fillId="0" borderId="20" xfId="0" applyBorder="1" applyAlignment="1">
      <alignment horizontal="left" vertical="center" wrapText="1"/>
    </xf>
    <xf numFmtId="0" fontId="0" fillId="0" borderId="20" xfId="0" applyBorder="1" applyAlignment="1">
      <alignment horizontal="left" vertical="center"/>
    </xf>
    <xf numFmtId="0" fontId="26" fillId="0" borderId="20" xfId="0" applyFont="1" applyBorder="1"/>
    <xf numFmtId="0" fontId="26" fillId="0" borderId="20" xfId="0" applyFont="1" applyBorder="1" applyAlignment="1">
      <alignment vertical="center"/>
    </xf>
    <xf numFmtId="0" fontId="1" fillId="0" borderId="0" xfId="0" applyFont="1" applyBorder="1" applyAlignment="1">
      <alignment horizontal="right" vertical="center"/>
    </xf>
    <xf numFmtId="1" fontId="0" fillId="0" borderId="0" xfId="0" applyNumberFormat="1" applyBorder="1" applyAlignment="1">
      <alignment horizontal="center" vertical="center"/>
    </xf>
    <xf numFmtId="0" fontId="0" fillId="0" borderId="0" xfId="0" applyBorder="1" applyAlignment="1">
      <alignment horizontal="center" vertical="center"/>
    </xf>
    <xf numFmtId="1" fontId="1" fillId="0" borderId="0" xfId="0" applyNumberFormat="1" applyFont="1" applyBorder="1" applyAlignment="1">
      <alignment horizontal="center" vertical="center"/>
    </xf>
    <xf numFmtId="0" fontId="1" fillId="0" borderId="0" xfId="0" applyFont="1" applyAlignment="1">
      <alignment horizontal="right"/>
    </xf>
    <xf numFmtId="0" fontId="1" fillId="3" borderId="0" xfId="0" applyFont="1" applyFill="1"/>
    <xf numFmtId="0" fontId="0" fillId="0" borderId="21" xfId="0" applyFill="1" applyBorder="1" applyAlignment="1">
      <alignment horizontal="left" vertical="center"/>
    </xf>
    <xf numFmtId="0" fontId="0" fillId="0" borderId="0" xfId="0" applyAlignment="1">
      <alignment horizontal="center" vertical="center"/>
    </xf>
    <xf numFmtId="0" fontId="0" fillId="0" borderId="0" xfId="0" applyAlignment="1">
      <alignment horizontal="right"/>
    </xf>
    <xf numFmtId="0" fontId="27" fillId="0" borderId="20" xfId="0" applyFont="1" applyBorder="1" applyAlignment="1">
      <alignment horizontal="center" vertical="center"/>
    </xf>
    <xf numFmtId="0" fontId="28" fillId="0" borderId="20" xfId="0" applyFont="1" applyBorder="1" applyAlignment="1">
      <alignment horizontal="center" vertical="center"/>
    </xf>
    <xf numFmtId="0" fontId="28" fillId="0" borderId="20" xfId="0" applyFont="1" applyBorder="1" applyAlignment="1">
      <alignment wrapText="1"/>
    </xf>
    <xf numFmtId="0" fontId="28" fillId="0" borderId="20" xfId="0" applyFont="1" applyBorder="1" applyAlignment="1">
      <alignment horizontal="right" vertical="center" wrapText="1"/>
    </xf>
    <xf numFmtId="3" fontId="28" fillId="0" borderId="20" xfId="0" applyNumberFormat="1" applyFont="1" applyBorder="1" applyAlignment="1">
      <alignment horizontal="right" vertical="center" wrapText="1"/>
    </xf>
    <xf numFmtId="0" fontId="28" fillId="0" borderId="20" xfId="0" applyFont="1" applyBorder="1"/>
    <xf numFmtId="0" fontId="29" fillId="0" borderId="0" xfId="0" applyFont="1" applyBorder="1" applyAlignment="1">
      <alignment horizontal="center"/>
    </xf>
    <xf numFmtId="0" fontId="29" fillId="0" borderId="0" xfId="0" applyFont="1" applyBorder="1"/>
    <xf numFmtId="0" fontId="30" fillId="0" borderId="0" xfId="0" applyFont="1" applyBorder="1" applyAlignment="1">
      <alignment horizontal="left"/>
    </xf>
    <xf numFmtId="0" fontId="30" fillId="0" borderId="0" xfId="0" applyFont="1" applyBorder="1" applyAlignment="1"/>
    <xf numFmtId="0" fontId="31" fillId="7" borderId="20" xfId="0" applyFont="1" applyFill="1" applyBorder="1" applyAlignment="1">
      <alignment horizontal="center" vertical="center"/>
    </xf>
    <xf numFmtId="0" fontId="31" fillId="0" borderId="20" xfId="0" applyFont="1" applyBorder="1" applyAlignment="1">
      <alignment horizontal="left" vertical="center"/>
    </xf>
    <xf numFmtId="0" fontId="29" fillId="0" borderId="20" xfId="0" applyFont="1" applyBorder="1" applyAlignment="1">
      <alignment horizontal="left" vertical="center" wrapText="1"/>
    </xf>
    <xf numFmtId="0" fontId="29" fillId="0" borderId="20" xfId="0" applyFont="1" applyBorder="1" applyAlignment="1">
      <alignment horizontal="left" vertical="center"/>
    </xf>
    <xf numFmtId="0" fontId="31" fillId="0" borderId="23" xfId="0" applyFont="1" applyBorder="1" applyAlignment="1">
      <alignment horizontal="center" vertical="center"/>
    </xf>
    <xf numFmtId="0" fontId="31" fillId="0" borderId="29" xfId="0" applyFont="1" applyBorder="1" applyAlignment="1">
      <alignment horizontal="center" vertical="center"/>
    </xf>
    <xf numFmtId="0" fontId="29" fillId="0" borderId="23"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20" xfId="0" applyFont="1" applyBorder="1" applyAlignment="1">
      <alignment horizontal="center"/>
    </xf>
    <xf numFmtId="0" fontId="31" fillId="0" borderId="23" xfId="0" applyFont="1" applyBorder="1" applyAlignment="1">
      <alignment horizontal="left" wrapText="1"/>
    </xf>
    <xf numFmtId="0" fontId="31" fillId="0" borderId="29" xfId="0" applyFont="1" applyBorder="1" applyAlignment="1">
      <alignment horizontal="left" wrapText="1"/>
    </xf>
    <xf numFmtId="0" fontId="31" fillId="0" borderId="23" xfId="0" applyFont="1" applyBorder="1" applyAlignment="1">
      <alignment horizontal="center" wrapText="1"/>
    </xf>
    <xf numFmtId="0" fontId="31" fillId="0" borderId="22" xfId="0" applyFont="1" applyBorder="1" applyAlignment="1">
      <alignment horizontal="center" wrapText="1"/>
    </xf>
    <xf numFmtId="0" fontId="31" fillId="0" borderId="22" xfId="0" applyFont="1" applyBorder="1" applyAlignment="1">
      <alignment horizontal="center"/>
    </xf>
    <xf numFmtId="0" fontId="31" fillId="0" borderId="29" xfId="0" applyFont="1" applyBorder="1" applyAlignment="1">
      <alignment horizontal="center"/>
    </xf>
    <xf numFmtId="0" fontId="32" fillId="2" borderId="28" xfId="0" applyFont="1" applyFill="1" applyBorder="1" applyAlignment="1">
      <alignment horizontal="center" vertical="center" wrapText="1"/>
    </xf>
    <xf numFmtId="0" fontId="32" fillId="2" borderId="30" xfId="0" applyFont="1" applyFill="1" applyBorder="1" applyAlignment="1">
      <alignment horizontal="center" vertical="center" wrapText="1"/>
    </xf>
    <xf numFmtId="0" fontId="31" fillId="2" borderId="20" xfId="0" applyFont="1" applyFill="1" applyBorder="1" applyAlignment="1">
      <alignment horizontal="left" vertical="center"/>
    </xf>
    <xf numFmtId="0" fontId="31" fillId="2" borderId="20" xfId="0" applyFont="1" applyFill="1" applyBorder="1" applyAlignment="1">
      <alignment horizontal="center" wrapText="1"/>
    </xf>
    <xf numFmtId="177" fontId="31" fillId="0" borderId="20" xfId="2" applyFont="1" applyBorder="1" applyAlignment="1">
      <alignment vertical="center"/>
    </xf>
    <xf numFmtId="0" fontId="33" fillId="0" borderId="20" xfId="10" applyFont="1" applyBorder="1" applyAlignment="1" applyProtection="1">
      <alignment horizontal="left" vertical="center"/>
    </xf>
    <xf numFmtId="0" fontId="31" fillId="0" borderId="20" xfId="0" applyFont="1" applyBorder="1" applyAlignment="1">
      <alignment horizontal="center" vertical="center"/>
    </xf>
    <xf numFmtId="0" fontId="31" fillId="0" borderId="20" xfId="0" applyFont="1" applyBorder="1" applyAlignment="1">
      <alignment horizontal="left" vertical="center" wrapText="1"/>
    </xf>
    <xf numFmtId="177" fontId="31" fillId="0" borderId="20" xfId="2" applyNumberFormat="1" applyFont="1" applyBorder="1" applyAlignment="1">
      <alignment horizontal="center" vertical="center" wrapText="1"/>
    </xf>
    <xf numFmtId="177" fontId="31" fillId="0" borderId="20" xfId="2" applyNumberFormat="1" applyFont="1" applyBorder="1" applyAlignment="1">
      <alignment horizontal="center" vertical="center"/>
    </xf>
    <xf numFmtId="177" fontId="31" fillId="0" borderId="20" xfId="2" applyFont="1" applyBorder="1" applyAlignment="1">
      <alignment horizontal="center" vertical="center" wrapText="1"/>
    </xf>
    <xf numFmtId="178" fontId="31" fillId="0" borderId="20" xfId="2" applyNumberFormat="1" applyFont="1" applyBorder="1" applyAlignment="1">
      <alignment horizontal="center" vertical="center"/>
    </xf>
    <xf numFmtId="177" fontId="34" fillId="0" borderId="20" xfId="2" applyFont="1" applyBorder="1" applyAlignment="1">
      <alignment vertical="center"/>
    </xf>
    <xf numFmtId="0" fontId="31" fillId="0" borderId="23" xfId="0" applyFont="1" applyBorder="1" applyAlignment="1">
      <alignment horizontal="center" vertical="center" wrapText="1"/>
    </xf>
    <xf numFmtId="0" fontId="31" fillId="0" borderId="22" xfId="0" applyFont="1" applyBorder="1" applyAlignment="1">
      <alignment horizontal="center" vertical="center"/>
    </xf>
    <xf numFmtId="0" fontId="31" fillId="0" borderId="29" xfId="0" applyFont="1" applyBorder="1" applyAlignment="1">
      <alignment horizontal="center" vertical="center"/>
    </xf>
    <xf numFmtId="0" fontId="31" fillId="0" borderId="20" xfId="0" applyFont="1" applyBorder="1" applyAlignment="1">
      <alignment horizontal="center" vertical="center" wrapText="1"/>
    </xf>
    <xf numFmtId="0" fontId="29" fillId="0" borderId="20" xfId="0" applyFont="1" applyBorder="1" applyAlignment="1">
      <alignment horizontal="center" vertical="center"/>
    </xf>
    <xf numFmtId="0" fontId="35" fillId="0" borderId="20" xfId="0" applyFont="1" applyBorder="1" applyAlignment="1">
      <alignment horizontal="center"/>
    </xf>
    <xf numFmtId="0" fontId="31" fillId="2" borderId="20" xfId="0" applyFont="1" applyFill="1" applyBorder="1" applyAlignment="1">
      <alignment horizontal="center" vertical="center"/>
    </xf>
    <xf numFmtId="0" fontId="29" fillId="0" borderId="20" xfId="0" applyFont="1" applyBorder="1" applyAlignment="1">
      <alignment horizontal="left" wrapText="1"/>
    </xf>
    <xf numFmtId="0" fontId="31" fillId="0" borderId="24" xfId="0" applyFont="1" applyBorder="1" applyAlignment="1">
      <alignment horizontal="center" vertical="center" textRotation="90"/>
    </xf>
    <xf numFmtId="0" fontId="31" fillId="0" borderId="26" xfId="0" applyFont="1" applyBorder="1" applyAlignment="1">
      <alignment horizontal="center" vertical="center" textRotation="90"/>
    </xf>
    <xf numFmtId="0" fontId="31" fillId="0" borderId="25" xfId="0" applyFont="1" applyBorder="1" applyAlignment="1">
      <alignment horizontal="center" vertical="center" textRotation="90"/>
    </xf>
    <xf numFmtId="0" fontId="31" fillId="0" borderId="23" xfId="0" applyFont="1" applyBorder="1" applyAlignment="1">
      <alignment horizontal="center"/>
    </xf>
    <xf numFmtId="0" fontId="31" fillId="0" borderId="20" xfId="0" applyFont="1" applyBorder="1" applyAlignment="1">
      <alignment horizontal="center"/>
    </xf>
    <xf numFmtId="0" fontId="31" fillId="2" borderId="0" xfId="0" applyFont="1" applyFill="1" applyBorder="1" applyAlignment="1">
      <alignment horizontal="center" vertical="center"/>
    </xf>
    <xf numFmtId="0" fontId="31" fillId="0" borderId="23" xfId="0" applyFont="1" applyBorder="1" applyAlignment="1">
      <alignment horizontal="center" vertical="top" wrapText="1"/>
    </xf>
    <xf numFmtId="0" fontId="31" fillId="0" borderId="29" xfId="0" applyFont="1" applyBorder="1" applyAlignment="1">
      <alignment horizontal="center" vertical="top"/>
    </xf>
    <xf numFmtId="0" fontId="31" fillId="2" borderId="20" xfId="0" applyFont="1" applyFill="1" applyBorder="1" applyAlignment="1">
      <alignment horizontal="center" vertical="top" wrapText="1"/>
    </xf>
    <xf numFmtId="0" fontId="31" fillId="2" borderId="23" xfId="0" applyFont="1" applyFill="1" applyBorder="1" applyAlignment="1">
      <alignment horizontal="center" wrapText="1"/>
    </xf>
    <xf numFmtId="0" fontId="31" fillId="2" borderId="29" xfId="0" applyFont="1" applyFill="1" applyBorder="1" applyAlignment="1">
      <alignment horizontal="center" wrapText="1"/>
    </xf>
    <xf numFmtId="0" fontId="36" fillId="0" borderId="23" xfId="0" applyFont="1" applyBorder="1" applyAlignment="1">
      <alignment horizontal="center" vertical="center" wrapText="1"/>
    </xf>
    <xf numFmtId="0" fontId="36" fillId="0" borderId="29" xfId="0" applyFont="1" applyBorder="1" applyAlignment="1">
      <alignment horizontal="center" vertical="center"/>
    </xf>
    <xf numFmtId="0" fontId="11" fillId="8" borderId="24" xfId="0" applyFont="1" applyFill="1" applyBorder="1" applyAlignment="1">
      <alignment horizontal="center" vertical="center" wrapText="1"/>
    </xf>
    <xf numFmtId="0" fontId="37" fillId="0" borderId="20" xfId="0" applyFont="1" applyBorder="1" applyAlignment="1">
      <alignment horizontal="center" wrapText="1"/>
    </xf>
    <xf numFmtId="0" fontId="37" fillId="0" borderId="20" xfId="0" applyFont="1" applyBorder="1" applyAlignment="1">
      <alignment horizontal="center" vertical="center" wrapText="1"/>
    </xf>
    <xf numFmtId="178" fontId="31" fillId="0" borderId="20" xfId="2" applyNumberFormat="1" applyFont="1" applyBorder="1" applyAlignment="1">
      <alignment vertical="center"/>
    </xf>
    <xf numFmtId="178" fontId="31" fillId="0" borderId="20" xfId="2" applyNumberFormat="1" applyFont="1" applyBorder="1" applyAlignment="1">
      <alignment horizontal="center" vertical="center" wrapText="1"/>
    </xf>
    <xf numFmtId="177" fontId="31" fillId="0" borderId="20" xfId="2" applyFont="1" applyBorder="1" applyAlignment="1">
      <alignment horizontal="center" vertical="center"/>
    </xf>
    <xf numFmtId="177" fontId="31" fillId="0" borderId="20" xfId="2" applyNumberFormat="1" applyFont="1" applyBorder="1" applyAlignment="1">
      <alignment vertical="center"/>
    </xf>
    <xf numFmtId="177" fontId="34" fillId="8" borderId="20" xfId="2" applyFont="1" applyFill="1" applyBorder="1" applyAlignment="1">
      <alignment horizontal="center" vertical="center"/>
    </xf>
    <xf numFmtId="0" fontId="31" fillId="8" borderId="20" xfId="0" applyFont="1" applyFill="1" applyBorder="1" applyAlignment="1">
      <alignment horizontal="center" vertical="center"/>
    </xf>
    <xf numFmtId="0" fontId="29" fillId="0" borderId="0" xfId="0" applyFont="1" applyBorder="1" applyAlignment="1">
      <alignment wrapText="1"/>
    </xf>
    <xf numFmtId="0" fontId="8" fillId="0" borderId="0" xfId="0" applyFont="1" applyAlignment="1" quotePrefix="1">
      <alignment horizontal="center" vertical="center"/>
    </xf>
    <xf numFmtId="0" fontId="8" fillId="0" borderId="20" xfId="0" applyFont="1" applyBorder="1" applyAlignment="1" quotePrefix="1">
      <alignment horizontal="center" vertical="center"/>
    </xf>
  </cellXfs>
  <cellStyles count="52">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Normal 3" xfId="37"/>
    <cellStyle name="20% - Accent6" xfId="38" builtinId="50"/>
    <cellStyle name="60% - Accent2" xfId="39" builtinId="36"/>
    <cellStyle name="Accent3" xfId="40" builtinId="37"/>
    <cellStyle name="20% - Accent3" xfId="41" builtinId="38"/>
    <cellStyle name="Accent4" xfId="42" builtinId="41"/>
    <cellStyle name="20% - Accent4" xfId="43" builtinId="42"/>
    <cellStyle name="40% - Accent4" xfId="44" builtinId="43"/>
    <cellStyle name="Accent5" xfId="45" builtinId="45"/>
    <cellStyle name="40% - Accent5" xfId="46" builtinId="47"/>
    <cellStyle name="60% - Accent5" xfId="47" builtinId="48"/>
    <cellStyle name="Accent6" xfId="48" builtinId="49"/>
    <cellStyle name="40% - Accent6" xfId="49" builtinId="51"/>
    <cellStyle name="60% - Accent6" xfId="50" builtinId="52"/>
    <cellStyle name="Comma 2" xfId="51"/>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GST@28%25%20&amp;%2018%25"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GST@18%25" TargetMode="External"/><Relationship Id="rId1" Type="http://schemas.openxmlformats.org/officeDocument/2006/relationships/hyperlink" Target="mailto:GST@28%25%20&amp;%2018%2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GST@28%25%20&amp;%2018%2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Q55"/>
  <sheetViews>
    <sheetView tabSelected="1" topLeftCell="A10" workbookViewId="0">
      <selection activeCell="H18" sqref="H18:P18"/>
    </sheetView>
  </sheetViews>
  <sheetFormatPr defaultColWidth="9" defaultRowHeight="15"/>
  <cols>
    <col min="1" max="1" width="3" style="145" customWidth="1"/>
    <col min="2" max="2" width="24.1428571428571" style="146" customWidth="1"/>
    <col min="3" max="16" width="7.71428571428571" style="146" customWidth="1"/>
    <col min="17" max="16384" width="9.14285714285714" style="146"/>
  </cols>
  <sheetData>
    <row r="2" ht="18.75" spans="1:17">
      <c r="A2" s="147" t="s">
        <v>0</v>
      </c>
      <c r="C2" s="148"/>
      <c r="D2" s="148"/>
      <c r="E2" s="148"/>
      <c r="F2" s="148"/>
      <c r="O2" s="191" t="s">
        <v>1</v>
      </c>
      <c r="Q2" s="208"/>
    </row>
    <row r="3" spans="17:17">
      <c r="Q3" s="208"/>
    </row>
    <row r="4" ht="30" customHeight="1" spans="1:17">
      <c r="A4" s="149" t="s">
        <v>2</v>
      </c>
      <c r="B4" s="149"/>
      <c r="C4" s="149" t="s">
        <v>3</v>
      </c>
      <c r="D4" s="149"/>
      <c r="E4" s="149"/>
      <c r="F4" s="149"/>
      <c r="G4" s="149"/>
      <c r="H4" s="149"/>
      <c r="I4" s="149"/>
      <c r="J4" s="149"/>
      <c r="K4" s="149"/>
      <c r="L4" s="149"/>
      <c r="M4" s="149"/>
      <c r="N4" s="149"/>
      <c r="O4" s="149"/>
      <c r="P4" s="149"/>
      <c r="Q4" s="208"/>
    </row>
    <row r="5" ht="6.75" customHeight="1" spans="1:17">
      <c r="A5" s="150" t="s">
        <v>4</v>
      </c>
      <c r="B5" s="150"/>
      <c r="C5" s="151" t="s">
        <v>5</v>
      </c>
      <c r="D5" s="151"/>
      <c r="E5" s="151"/>
      <c r="F5" s="151"/>
      <c r="G5" s="151"/>
      <c r="H5" s="151"/>
      <c r="I5" s="151"/>
      <c r="J5" s="151"/>
      <c r="K5" s="151"/>
      <c r="L5" s="151"/>
      <c r="M5" s="151"/>
      <c r="N5" s="151"/>
      <c r="O5" s="151"/>
      <c r="P5" s="151"/>
      <c r="Q5" s="208"/>
    </row>
    <row r="6" spans="1:17">
      <c r="A6" s="150"/>
      <c r="B6" s="150"/>
      <c r="C6" s="151"/>
      <c r="D6" s="151"/>
      <c r="E6" s="151"/>
      <c r="F6" s="151"/>
      <c r="G6" s="151"/>
      <c r="H6" s="151"/>
      <c r="I6" s="151"/>
      <c r="J6" s="151"/>
      <c r="K6" s="151"/>
      <c r="L6" s="151"/>
      <c r="M6" s="151"/>
      <c r="N6" s="151"/>
      <c r="O6" s="151"/>
      <c r="P6" s="151"/>
      <c r="Q6" s="208"/>
    </row>
    <row r="7" ht="24" customHeight="1" spans="1:17">
      <c r="A7" s="150" t="s">
        <v>6</v>
      </c>
      <c r="B7" s="150"/>
      <c r="C7" s="151" t="s">
        <v>7</v>
      </c>
      <c r="D7" s="151"/>
      <c r="E7" s="151"/>
      <c r="F7" s="151"/>
      <c r="G7" s="151"/>
      <c r="H7" s="151"/>
      <c r="I7" s="151"/>
      <c r="J7" s="151"/>
      <c r="K7" s="151"/>
      <c r="L7" s="151"/>
      <c r="M7" s="151"/>
      <c r="N7" s="151"/>
      <c r="O7" s="151"/>
      <c r="P7" s="151"/>
      <c r="Q7" s="208"/>
    </row>
    <row r="8" ht="24" customHeight="1" spans="1:17">
      <c r="A8" s="150"/>
      <c r="B8" s="150"/>
      <c r="C8" s="151"/>
      <c r="D8" s="151"/>
      <c r="E8" s="151"/>
      <c r="F8" s="151"/>
      <c r="G8" s="151"/>
      <c r="H8" s="151"/>
      <c r="I8" s="151"/>
      <c r="J8" s="151"/>
      <c r="K8" s="151"/>
      <c r="L8" s="151"/>
      <c r="M8" s="151"/>
      <c r="N8" s="151"/>
      <c r="O8" s="151"/>
      <c r="P8" s="151"/>
      <c r="Q8" s="208"/>
    </row>
    <row r="9" ht="29.25" customHeight="1" spans="1:17">
      <c r="A9" s="150" t="s">
        <v>8</v>
      </c>
      <c r="B9" s="150"/>
      <c r="C9" s="151" t="s">
        <v>9</v>
      </c>
      <c r="D9" s="151"/>
      <c r="E9" s="151"/>
      <c r="F9" s="151"/>
      <c r="G9" s="151"/>
      <c r="H9" s="151"/>
      <c r="I9" s="151"/>
      <c r="J9" s="151"/>
      <c r="K9" s="151"/>
      <c r="L9" s="151"/>
      <c r="M9" s="151"/>
      <c r="N9" s="151"/>
      <c r="O9" s="151"/>
      <c r="P9" s="151"/>
      <c r="Q9" s="208"/>
    </row>
    <row r="10" spans="1:17">
      <c r="A10" s="150"/>
      <c r="B10" s="150"/>
      <c r="C10" s="151"/>
      <c r="D10" s="151"/>
      <c r="E10" s="151"/>
      <c r="F10" s="151"/>
      <c r="G10" s="151"/>
      <c r="H10" s="151"/>
      <c r="I10" s="151"/>
      <c r="J10" s="151"/>
      <c r="K10" s="151"/>
      <c r="L10" s="151"/>
      <c r="M10" s="151"/>
      <c r="N10" s="151"/>
      <c r="O10" s="151"/>
      <c r="P10" s="151"/>
      <c r="Q10" s="208"/>
    </row>
    <row r="11" spans="1:17">
      <c r="A11" s="150" t="s">
        <v>10</v>
      </c>
      <c r="B11" s="150"/>
      <c r="C11" s="152" t="s">
        <v>11</v>
      </c>
      <c r="D11" s="152"/>
      <c r="E11" s="152"/>
      <c r="F11" s="152"/>
      <c r="G11" s="152"/>
      <c r="H11" s="152"/>
      <c r="I11" s="152"/>
      <c r="J11" s="152"/>
      <c r="K11" s="152"/>
      <c r="L11" s="152"/>
      <c r="M11" s="152"/>
      <c r="N11" s="152"/>
      <c r="O11" s="152"/>
      <c r="P11" s="152"/>
      <c r="Q11" s="208"/>
    </row>
    <row r="12" ht="4.5" customHeight="1" spans="1:17">
      <c r="A12" s="150"/>
      <c r="B12" s="150"/>
      <c r="C12" s="152"/>
      <c r="D12" s="152"/>
      <c r="E12" s="152"/>
      <c r="F12" s="152"/>
      <c r="G12" s="152"/>
      <c r="H12" s="152"/>
      <c r="I12" s="152"/>
      <c r="J12" s="152"/>
      <c r="K12" s="152"/>
      <c r="L12" s="152"/>
      <c r="M12" s="152"/>
      <c r="N12" s="152"/>
      <c r="O12" s="152"/>
      <c r="P12" s="152"/>
      <c r="Q12" s="208"/>
    </row>
    <row r="13" ht="24.95" customHeight="1" spans="1:17">
      <c r="A13" s="150" t="s">
        <v>12</v>
      </c>
      <c r="B13" s="150"/>
      <c r="C13" s="151" t="s">
        <v>13</v>
      </c>
      <c r="D13" s="151"/>
      <c r="E13" s="151"/>
      <c r="F13" s="151"/>
      <c r="G13" s="151"/>
      <c r="H13" s="151"/>
      <c r="I13" s="151"/>
      <c r="J13" s="151"/>
      <c r="K13" s="151"/>
      <c r="L13" s="151"/>
      <c r="M13" s="151"/>
      <c r="N13" s="151"/>
      <c r="O13" s="151"/>
      <c r="P13" s="151"/>
      <c r="Q13" s="208"/>
    </row>
    <row r="14" ht="24.95" customHeight="1" spans="1:17">
      <c r="A14" s="150"/>
      <c r="B14" s="150"/>
      <c r="C14" s="151"/>
      <c r="D14" s="151"/>
      <c r="E14" s="151"/>
      <c r="F14" s="151"/>
      <c r="G14" s="151"/>
      <c r="H14" s="151"/>
      <c r="I14" s="151"/>
      <c r="J14" s="151"/>
      <c r="K14" s="151"/>
      <c r="L14" s="151"/>
      <c r="M14" s="151"/>
      <c r="N14" s="151"/>
      <c r="O14" s="151"/>
      <c r="P14" s="151"/>
      <c r="Q14" s="208"/>
    </row>
    <row r="15" ht="24.95" customHeight="1" spans="1:17">
      <c r="A15" s="150" t="s">
        <v>14</v>
      </c>
      <c r="B15" s="150"/>
      <c r="C15" s="151" t="s">
        <v>15</v>
      </c>
      <c r="D15" s="151"/>
      <c r="E15" s="151"/>
      <c r="F15" s="151"/>
      <c r="G15" s="151"/>
      <c r="H15" s="151"/>
      <c r="I15" s="151"/>
      <c r="J15" s="151"/>
      <c r="K15" s="151"/>
      <c r="L15" s="151"/>
      <c r="M15" s="151"/>
      <c r="N15" s="151"/>
      <c r="O15" s="151"/>
      <c r="P15" s="151"/>
      <c r="Q15" s="208"/>
    </row>
    <row r="16" ht="24.95" customHeight="1" spans="1:17">
      <c r="A16" s="150"/>
      <c r="B16" s="150"/>
      <c r="C16" s="151"/>
      <c r="D16" s="151"/>
      <c r="E16" s="151"/>
      <c r="F16" s="151"/>
      <c r="G16" s="151"/>
      <c r="H16" s="151"/>
      <c r="I16" s="151"/>
      <c r="J16" s="151"/>
      <c r="K16" s="151"/>
      <c r="L16" s="151"/>
      <c r="M16" s="151"/>
      <c r="N16" s="151"/>
      <c r="O16" s="151"/>
      <c r="P16" s="151"/>
      <c r="Q16" s="208"/>
    </row>
    <row r="17" ht="24.95" customHeight="1" spans="1:17">
      <c r="A17" s="153" t="s">
        <v>16</v>
      </c>
      <c r="B17" s="154"/>
      <c r="C17" s="155">
        <v>5</v>
      </c>
      <c r="D17" s="156"/>
      <c r="E17" s="156"/>
      <c r="F17" s="156"/>
      <c r="G17" s="157"/>
      <c r="H17" s="155"/>
      <c r="I17" s="156"/>
      <c r="J17" s="156"/>
      <c r="K17" s="156"/>
      <c r="L17" s="156"/>
      <c r="M17" s="156"/>
      <c r="N17" s="156"/>
      <c r="O17" s="156"/>
      <c r="P17" s="157"/>
      <c r="Q17" s="208"/>
    </row>
    <row r="18" ht="24.95" customHeight="1" spans="1:17">
      <c r="A18" s="153" t="s">
        <v>17</v>
      </c>
      <c r="B18" s="154"/>
      <c r="C18" s="155">
        <v>4</v>
      </c>
      <c r="D18" s="156"/>
      <c r="E18" s="156"/>
      <c r="F18" s="156"/>
      <c r="G18" s="157"/>
      <c r="H18" s="155"/>
      <c r="I18" s="156"/>
      <c r="J18" s="156"/>
      <c r="K18" s="156"/>
      <c r="L18" s="156"/>
      <c r="M18" s="156"/>
      <c r="N18" s="156"/>
      <c r="O18" s="156"/>
      <c r="P18" s="157"/>
      <c r="Q18" s="208"/>
    </row>
    <row r="19" spans="1:17">
      <c r="A19" s="158"/>
      <c r="B19" s="158"/>
      <c r="C19" s="158"/>
      <c r="D19" s="158"/>
      <c r="E19" s="158"/>
      <c r="F19" s="158"/>
      <c r="G19" s="158"/>
      <c r="H19" s="158"/>
      <c r="I19" s="158"/>
      <c r="J19" s="158"/>
      <c r="K19" s="158"/>
      <c r="L19" s="158"/>
      <c r="M19" s="158"/>
      <c r="N19" s="158"/>
      <c r="O19" s="158"/>
      <c r="P19" s="158"/>
      <c r="Q19" s="208"/>
    </row>
    <row r="20" ht="31.5" customHeight="1" spans="1:17">
      <c r="A20" s="159" t="s">
        <v>18</v>
      </c>
      <c r="B20" s="160"/>
      <c r="C20" s="161" t="s">
        <v>19</v>
      </c>
      <c r="D20" s="162"/>
      <c r="E20" s="163"/>
      <c r="F20" s="164"/>
      <c r="G20" s="165" t="s">
        <v>20</v>
      </c>
      <c r="H20" s="166"/>
      <c r="I20" s="192" t="s">
        <v>21</v>
      </c>
      <c r="J20" s="193"/>
      <c r="K20" s="161" t="s">
        <v>22</v>
      </c>
      <c r="L20" s="163"/>
      <c r="M20" s="163"/>
      <c r="N20" s="164"/>
      <c r="O20" s="161" t="s">
        <v>23</v>
      </c>
      <c r="P20" s="164"/>
      <c r="Q20" s="208"/>
    </row>
    <row r="21" spans="1:17">
      <c r="A21" s="167" t="s">
        <v>24</v>
      </c>
      <c r="B21" s="167"/>
      <c r="C21" s="168" t="s">
        <v>25</v>
      </c>
      <c r="D21" s="168" t="s">
        <v>26</v>
      </c>
      <c r="E21" s="168" t="s">
        <v>27</v>
      </c>
      <c r="F21" s="168" t="s">
        <v>28</v>
      </c>
      <c r="G21" s="168" t="s">
        <v>25</v>
      </c>
      <c r="H21" s="168" t="s">
        <v>26</v>
      </c>
      <c r="I21" s="168" t="s">
        <v>25</v>
      </c>
      <c r="J21" s="194" t="s">
        <v>26</v>
      </c>
      <c r="K21" s="195" t="s">
        <v>25</v>
      </c>
      <c r="L21" s="196"/>
      <c r="M21" s="168" t="s">
        <v>26</v>
      </c>
      <c r="N21" s="168" t="s">
        <v>27</v>
      </c>
      <c r="O21" s="168" t="s">
        <v>25</v>
      </c>
      <c r="P21" s="168" t="s">
        <v>26</v>
      </c>
      <c r="Q21" s="208"/>
    </row>
    <row r="22" ht="46.5" customHeight="1" spans="1:17">
      <c r="A22" s="150" t="s">
        <v>29</v>
      </c>
      <c r="B22" s="150"/>
      <c r="C22" s="53" t="s">
        <v>30</v>
      </c>
      <c r="D22" s="52" t="s">
        <v>31</v>
      </c>
      <c r="E22" s="53" t="s">
        <v>32</v>
      </c>
      <c r="F22" s="54" t="s">
        <v>33</v>
      </c>
      <c r="G22" s="53" t="s">
        <v>34</v>
      </c>
      <c r="H22" s="53" t="s">
        <v>35</v>
      </c>
      <c r="I22" s="53" t="s">
        <v>36</v>
      </c>
      <c r="J22" s="53" t="s">
        <v>37</v>
      </c>
      <c r="K22" s="197" t="s">
        <v>38</v>
      </c>
      <c r="L22" s="198"/>
      <c r="M22" s="53" t="s">
        <v>39</v>
      </c>
      <c r="N22" s="199" t="s">
        <v>40</v>
      </c>
      <c r="O22" s="200" t="s">
        <v>41</v>
      </c>
      <c r="P22" s="201" t="s">
        <v>42</v>
      </c>
      <c r="Q22" s="208"/>
    </row>
    <row r="23" ht="20.1" customHeight="1" spans="1:17">
      <c r="A23" s="150" t="s">
        <v>43</v>
      </c>
      <c r="B23" s="150"/>
      <c r="C23" s="169">
        <f>'Annx- 4 Comm comparison'!C16/100000</f>
        <v>9.1</v>
      </c>
      <c r="D23" s="169">
        <f>'Annx- 4 Comm comparison'!D16/100000</f>
        <v>8.99</v>
      </c>
      <c r="E23" s="169">
        <f>'Annx- 4 Comm comparison'!E16/100000</f>
        <v>6.45</v>
      </c>
      <c r="F23" s="169">
        <f>'Annx- 4 Comm comparison'!F16/100000</f>
        <v>6.076</v>
      </c>
      <c r="G23" s="169">
        <f>'Annx- 4 Comm comparison'!G16/100000</f>
        <v>9.481</v>
      </c>
      <c r="H23" s="169">
        <f>'Annx- 4 Comm comparison'!H16/100000</f>
        <v>5.58285</v>
      </c>
      <c r="I23" s="169">
        <f>'Annx- 4 Comm comparison'!I16/100000</f>
        <v>8.762</v>
      </c>
      <c r="J23" s="169">
        <f>'Annx- 4 Comm comparison'!J16/100000</f>
        <v>5.747</v>
      </c>
      <c r="K23" s="169">
        <f>'Annx- 4 Comm comparison'!K16/100000</f>
        <v>7.71</v>
      </c>
      <c r="L23" s="169">
        <f>'Annx- 4 Comm comparison'!L16/100000</f>
        <v>6.14</v>
      </c>
      <c r="M23" s="169">
        <f>'Annx- 4 Comm comparison'!M16/100000</f>
        <v>4.58999</v>
      </c>
      <c r="N23" s="169">
        <f>'Annx- 4 Comm comparison'!N16/100000</f>
        <v>4.58999</v>
      </c>
      <c r="O23" s="169">
        <f>'Annx- 4 Comm comparison'!O16/100000</f>
        <v>6.41</v>
      </c>
      <c r="P23" s="169">
        <f>'Annx- 4 Comm comparison'!P16/100000</f>
        <v>5.5195</v>
      </c>
      <c r="Q23" s="208"/>
    </row>
    <row r="24" ht="20.1" customHeight="1" spans="1:17">
      <c r="A24" s="150" t="s">
        <v>44</v>
      </c>
      <c r="B24" s="150"/>
      <c r="C24" s="169"/>
      <c r="D24" s="169"/>
      <c r="E24" s="169"/>
      <c r="F24" s="169"/>
      <c r="G24" s="169"/>
      <c r="H24" s="169"/>
      <c r="I24" s="169"/>
      <c r="J24" s="169"/>
      <c r="K24" s="169"/>
      <c r="L24" s="169"/>
      <c r="M24" s="169"/>
      <c r="N24" s="169"/>
      <c r="O24" s="169"/>
      <c r="P24" s="169"/>
      <c r="Q24" s="208"/>
    </row>
    <row r="25" ht="20.1" customHeight="1" spans="1:17">
      <c r="A25" s="170" t="s">
        <v>45</v>
      </c>
      <c r="B25" s="170"/>
      <c r="C25" s="169">
        <f>'Annx- 4 Comm comparison'!C17/100000</f>
        <v>2.338</v>
      </c>
      <c r="D25" s="169">
        <f>'Annx- 4 Comm comparison'!D17/100000</f>
        <v>2.1632</v>
      </c>
      <c r="E25" s="169">
        <f>'Annx- 4 Comm comparison'!E17/100000</f>
        <v>1.546</v>
      </c>
      <c r="F25" s="169">
        <f>'Annx- 4 Comm comparison'!F17/100000</f>
        <v>1.47868</v>
      </c>
      <c r="G25" s="169">
        <f>'Annx- 4 Comm comparison'!G17/100000</f>
        <v>2.37908</v>
      </c>
      <c r="H25" s="169">
        <f>'Annx- 4 Comm comparison'!H17/100000</f>
        <v>1.413888</v>
      </c>
      <c r="I25" s="169">
        <f>'Annx- 4 Comm comparison'!I17/100000</f>
        <v>2.28482</v>
      </c>
      <c r="J25" s="169">
        <f>'Annx- 4 Comm comparison'!J17/100000</f>
        <v>1.49876</v>
      </c>
      <c r="K25" s="169">
        <f>'Annx- 4 Comm comparison'!K17/100000</f>
        <v>1.9128</v>
      </c>
      <c r="L25" s="169">
        <f>'Annx- 4 Comm comparison'!L17/100000</f>
        <v>1.5202</v>
      </c>
      <c r="M25" s="169">
        <f>'Annx- 4 Comm comparison'!M17/100000</f>
        <v>1.1251982</v>
      </c>
      <c r="N25" s="169">
        <f>'Annx- 4 Comm comparison'!N17/100000</f>
        <v>1.1251982</v>
      </c>
      <c r="O25" s="169">
        <f>'Annx- 4 Comm comparison'!O17/100000</f>
        <v>1.7348</v>
      </c>
      <c r="P25" s="169">
        <f>'Annx- 4 Comm comparison'!P17/100000</f>
        <v>1.40851</v>
      </c>
      <c r="Q25" s="208"/>
    </row>
    <row r="26" ht="30" customHeight="1" spans="1:17">
      <c r="A26" s="171" t="s">
        <v>46</v>
      </c>
      <c r="B26" s="172" t="s">
        <v>47</v>
      </c>
      <c r="C26" s="173">
        <f>'Annx- 4 Comm comparison'!C19/100000</f>
        <v>0.34314</v>
      </c>
      <c r="D26" s="173">
        <f>'Annx- 4 Comm comparison'!D19/100000</f>
        <v>0.334596</v>
      </c>
      <c r="E26" s="174">
        <f>'Annx- 4 Comm comparison'!E19/100000</f>
        <v>0.07996</v>
      </c>
      <c r="F26" s="175">
        <f>'Annx- 4 Comm comparison'!F19/100000</f>
        <v>0.18228</v>
      </c>
      <c r="G26" s="173">
        <f>'Annx- 4 Comm comparison'!G19/100000</f>
        <v>0.3558024</v>
      </c>
      <c r="H26" s="173">
        <f>'Annx- 4 Comm comparison'!H19/100000</f>
        <v>0.1674855</v>
      </c>
      <c r="I26" s="173">
        <f>'Annx- 4 Comm comparison'!I19/100000</f>
        <v>0.3314046</v>
      </c>
      <c r="J26" s="202">
        <v>0</v>
      </c>
      <c r="K26" s="203" t="s">
        <v>48</v>
      </c>
      <c r="L26" s="203" t="s">
        <v>48</v>
      </c>
      <c r="M26" s="203" t="s">
        <v>48</v>
      </c>
      <c r="N26" s="204">
        <f>'Annx- 4 Comm comparison'!N18/100000</f>
        <v>0.1</v>
      </c>
      <c r="O26" s="173">
        <f>'Annx- 4 Comm comparison'!O19/100000</f>
        <v>0.162896</v>
      </c>
      <c r="P26" s="202">
        <v>0</v>
      </c>
      <c r="Q26" s="208"/>
    </row>
    <row r="27" ht="20.1" customHeight="1" spans="1:17">
      <c r="A27" s="171" t="s">
        <v>49</v>
      </c>
      <c r="B27" s="150" t="s">
        <v>50</v>
      </c>
      <c r="C27" s="176" t="s">
        <v>51</v>
      </c>
      <c r="D27" s="174">
        <f>'Annx- 4 Comm comparison'!D20/100000</f>
        <v>0.1</v>
      </c>
      <c r="E27" s="169">
        <f>'Annx- 4 Comm comparison'!E20/100000</f>
        <v>0.05</v>
      </c>
      <c r="F27" s="176" t="s">
        <v>51</v>
      </c>
      <c r="G27" s="176" t="s">
        <v>51</v>
      </c>
      <c r="H27" s="176" t="s">
        <v>51</v>
      </c>
      <c r="I27" s="176" t="s">
        <v>52</v>
      </c>
      <c r="J27" s="202">
        <v>0</v>
      </c>
      <c r="K27" s="176" t="s">
        <v>52</v>
      </c>
      <c r="L27" s="176" t="s">
        <v>52</v>
      </c>
      <c r="M27" s="176" t="s">
        <v>52</v>
      </c>
      <c r="N27" s="176" t="s">
        <v>53</v>
      </c>
      <c r="O27" s="202">
        <v>0</v>
      </c>
      <c r="P27" s="202">
        <v>0</v>
      </c>
      <c r="Q27" s="208"/>
    </row>
    <row r="28" ht="20.1" customHeight="1" spans="1:17">
      <c r="A28" s="171" t="s">
        <v>54</v>
      </c>
      <c r="B28" s="150" t="s">
        <v>55</v>
      </c>
      <c r="C28" s="169">
        <f>(C26)*18%</f>
        <v>0.0617652</v>
      </c>
      <c r="D28" s="169">
        <f>(D27+D26)*18%</f>
        <v>0.07822728</v>
      </c>
      <c r="E28" s="169">
        <f>(E27+E26)*18%</f>
        <v>0.0233928</v>
      </c>
      <c r="F28" s="169">
        <f>(F26)*18%</f>
        <v>0.0328104</v>
      </c>
      <c r="G28" s="169">
        <f>(G26)*18%</f>
        <v>0.064044432</v>
      </c>
      <c r="H28" s="169">
        <f>(H26)*18%</f>
        <v>0.03014739</v>
      </c>
      <c r="I28" s="169">
        <f>(I26)*18%</f>
        <v>0.059652828</v>
      </c>
      <c r="J28" s="202">
        <v>0</v>
      </c>
      <c r="K28" s="176" t="s">
        <v>52</v>
      </c>
      <c r="L28" s="176" t="s">
        <v>52</v>
      </c>
      <c r="M28" s="176" t="s">
        <v>52</v>
      </c>
      <c r="N28" s="205">
        <f>(N26)*18%</f>
        <v>0.018</v>
      </c>
      <c r="O28" s="202">
        <f t="shared" ref="O28:P28" si="0">O27*18%</f>
        <v>0</v>
      </c>
      <c r="P28" s="202">
        <f t="shared" si="0"/>
        <v>0</v>
      </c>
      <c r="Q28" s="208"/>
    </row>
    <row r="29" ht="20.1" customHeight="1" spans="1:17">
      <c r="A29" s="150" t="s">
        <v>56</v>
      </c>
      <c r="B29" s="150"/>
      <c r="C29" s="169">
        <f>SUM(C23:C28)</f>
        <v>11.8429052</v>
      </c>
      <c r="D29" s="169">
        <f t="shared" ref="D29:F29" si="1">SUM(D23:D28)</f>
        <v>11.66602328</v>
      </c>
      <c r="E29" s="169">
        <f t="shared" si="1"/>
        <v>8.1493528</v>
      </c>
      <c r="F29" s="169">
        <f t="shared" si="1"/>
        <v>7.7697704</v>
      </c>
      <c r="G29" s="169">
        <f t="shared" ref="G29:P29" si="2">SUM(G23:G28)</f>
        <v>12.279926832</v>
      </c>
      <c r="H29" s="177">
        <f t="shared" si="2"/>
        <v>7.19437089</v>
      </c>
      <c r="I29" s="169">
        <f t="shared" si="2"/>
        <v>11.437877428</v>
      </c>
      <c r="J29" s="177">
        <f t="shared" si="2"/>
        <v>7.24576</v>
      </c>
      <c r="K29" s="204">
        <f t="shared" si="2"/>
        <v>9.6228</v>
      </c>
      <c r="L29" s="204">
        <f t="shared" si="2"/>
        <v>7.6602</v>
      </c>
      <c r="M29" s="204">
        <f t="shared" si="2"/>
        <v>5.7151882</v>
      </c>
      <c r="N29" s="206">
        <f t="shared" si="2"/>
        <v>5.8331882</v>
      </c>
      <c r="O29" s="169">
        <f t="shared" si="2"/>
        <v>8.307696</v>
      </c>
      <c r="P29" s="177">
        <f t="shared" si="2"/>
        <v>6.92801</v>
      </c>
      <c r="Q29" s="208"/>
    </row>
    <row r="30" ht="34.5" customHeight="1" spans="1:17">
      <c r="A30" s="172" t="s">
        <v>57</v>
      </c>
      <c r="B30" s="150"/>
      <c r="C30" s="178" t="s">
        <v>58</v>
      </c>
      <c r="D30" s="179"/>
      <c r="E30" s="179"/>
      <c r="F30" s="180"/>
      <c r="G30" s="181" t="s">
        <v>59</v>
      </c>
      <c r="H30" s="171"/>
      <c r="I30" s="181" t="s">
        <v>60</v>
      </c>
      <c r="J30" s="171"/>
      <c r="K30" s="181" t="s">
        <v>61</v>
      </c>
      <c r="L30" s="181"/>
      <c r="M30" s="181"/>
      <c r="N30" s="171"/>
      <c r="O30" s="181" t="s">
        <v>62</v>
      </c>
      <c r="P30" s="171"/>
      <c r="Q30" s="208"/>
    </row>
    <row r="31" ht="35.1" customHeight="1" spans="1:17">
      <c r="A31" s="150" t="s">
        <v>63</v>
      </c>
      <c r="B31" s="150"/>
      <c r="C31" s="182" t="s">
        <v>64</v>
      </c>
      <c r="D31" s="182" t="s">
        <v>64</v>
      </c>
      <c r="E31" s="182" t="s">
        <v>64</v>
      </c>
      <c r="F31" s="171" t="s">
        <v>65</v>
      </c>
      <c r="G31" s="182" t="s">
        <v>64</v>
      </c>
      <c r="H31" s="171" t="s">
        <v>66</v>
      </c>
      <c r="I31" s="182" t="s">
        <v>64</v>
      </c>
      <c r="J31" s="171" t="s">
        <v>67</v>
      </c>
      <c r="K31" s="182" t="s">
        <v>64</v>
      </c>
      <c r="L31" s="182" t="s">
        <v>64</v>
      </c>
      <c r="M31" s="182" t="s">
        <v>64</v>
      </c>
      <c r="N31" s="207" t="s">
        <v>68</v>
      </c>
      <c r="O31" s="182" t="s">
        <v>64</v>
      </c>
      <c r="P31" s="171" t="s">
        <v>69</v>
      </c>
      <c r="Q31" s="208"/>
    </row>
    <row r="32" spans="1:17">
      <c r="A32" s="183" t="s">
        <v>70</v>
      </c>
      <c r="B32" s="183"/>
      <c r="C32" s="183"/>
      <c r="D32" s="183"/>
      <c r="E32" s="183"/>
      <c r="F32" s="183"/>
      <c r="G32" s="183"/>
      <c r="H32" s="183"/>
      <c r="I32" s="183"/>
      <c r="J32" s="183"/>
      <c r="K32" s="183"/>
      <c r="L32" s="183"/>
      <c r="M32" s="183"/>
      <c r="N32" s="183"/>
      <c r="O32" s="183"/>
      <c r="P32" s="183"/>
      <c r="Q32" s="208"/>
    </row>
    <row r="33" spans="1:17">
      <c r="A33" s="158"/>
      <c r="B33" s="158"/>
      <c r="C33" s="158"/>
      <c r="D33" s="158"/>
      <c r="E33" s="158"/>
      <c r="F33" s="158"/>
      <c r="G33" s="158"/>
      <c r="H33" s="158"/>
      <c r="I33" s="158"/>
      <c r="J33" s="158"/>
      <c r="K33" s="158"/>
      <c r="L33" s="158"/>
      <c r="M33" s="158"/>
      <c r="N33" s="158"/>
      <c r="O33" s="158"/>
      <c r="P33" s="158"/>
      <c r="Q33" s="208"/>
    </row>
    <row r="34" ht="20.1" customHeight="1" spans="1:17">
      <c r="A34" s="184" t="s">
        <v>71</v>
      </c>
      <c r="B34" s="184"/>
      <c r="C34" s="184"/>
      <c r="D34" s="184"/>
      <c r="E34" s="184"/>
      <c r="F34" s="184"/>
      <c r="G34" s="184"/>
      <c r="H34" s="184"/>
      <c r="I34" s="184"/>
      <c r="J34" s="184"/>
      <c r="K34" s="184"/>
      <c r="L34" s="184"/>
      <c r="M34" s="184"/>
      <c r="N34" s="184"/>
      <c r="O34" s="184"/>
      <c r="P34" s="184"/>
      <c r="Q34" s="208"/>
    </row>
    <row r="35" ht="44.25" customHeight="1" spans="1:17">
      <c r="A35" s="172" t="s">
        <v>72</v>
      </c>
      <c r="B35" s="172"/>
      <c r="C35" s="151" t="s">
        <v>73</v>
      </c>
      <c r="D35" s="151"/>
      <c r="E35" s="151"/>
      <c r="F35" s="151"/>
      <c r="G35" s="151"/>
      <c r="H35" s="151"/>
      <c r="I35" s="151"/>
      <c r="J35" s="151"/>
      <c r="K35" s="151"/>
      <c r="L35" s="151"/>
      <c r="M35" s="151"/>
      <c r="N35" s="151"/>
      <c r="O35" s="151"/>
      <c r="P35" s="151"/>
      <c r="Q35" s="208"/>
    </row>
    <row r="36" ht="18" customHeight="1" spans="1:17">
      <c r="A36" s="172" t="s">
        <v>74</v>
      </c>
      <c r="B36" s="172"/>
      <c r="C36" s="185" t="s">
        <v>75</v>
      </c>
      <c r="D36" s="185"/>
      <c r="E36" s="185"/>
      <c r="F36" s="185"/>
      <c r="G36" s="185"/>
      <c r="H36" s="185"/>
      <c r="I36" s="185"/>
      <c r="J36" s="185"/>
      <c r="K36" s="185"/>
      <c r="L36" s="185"/>
      <c r="M36" s="185"/>
      <c r="N36" s="185"/>
      <c r="O36" s="185"/>
      <c r="P36" s="185"/>
      <c r="Q36" s="208"/>
    </row>
    <row r="37" ht="18" customHeight="1" spans="1:17">
      <c r="A37" s="172" t="s">
        <v>76</v>
      </c>
      <c r="B37" s="172"/>
      <c r="C37" s="151" t="s">
        <v>77</v>
      </c>
      <c r="D37" s="151"/>
      <c r="E37" s="151"/>
      <c r="F37" s="151"/>
      <c r="G37" s="151"/>
      <c r="H37" s="151"/>
      <c r="I37" s="151"/>
      <c r="J37" s="151"/>
      <c r="K37" s="151"/>
      <c r="L37" s="151"/>
      <c r="M37" s="151"/>
      <c r="N37" s="151"/>
      <c r="O37" s="151"/>
      <c r="P37" s="151"/>
      <c r="Q37" s="208"/>
    </row>
    <row r="38" ht="18" customHeight="1" spans="1:17">
      <c r="A38" s="172" t="s">
        <v>78</v>
      </c>
      <c r="B38" s="172"/>
      <c r="C38" s="151" t="s">
        <v>79</v>
      </c>
      <c r="D38" s="151"/>
      <c r="E38" s="151"/>
      <c r="F38" s="151"/>
      <c r="G38" s="151"/>
      <c r="H38" s="151"/>
      <c r="I38" s="151"/>
      <c r="J38" s="151"/>
      <c r="K38" s="151"/>
      <c r="L38" s="151"/>
      <c r="M38" s="151"/>
      <c r="N38" s="151"/>
      <c r="O38" s="151"/>
      <c r="P38" s="151"/>
      <c r="Q38" s="208"/>
    </row>
    <row r="39" spans="1:17">
      <c r="A39" s="158"/>
      <c r="B39" s="158"/>
      <c r="C39" s="158"/>
      <c r="D39" s="158"/>
      <c r="E39" s="158"/>
      <c r="F39" s="158"/>
      <c r="G39" s="158"/>
      <c r="H39" s="158"/>
      <c r="I39" s="158"/>
      <c r="J39" s="158"/>
      <c r="K39" s="158"/>
      <c r="L39" s="158"/>
      <c r="M39" s="158"/>
      <c r="N39" s="158"/>
      <c r="O39" s="158"/>
      <c r="P39" s="158"/>
      <c r="Q39" s="208"/>
    </row>
    <row r="40" ht="30" customHeight="1" spans="1:17">
      <c r="A40" s="172" t="s">
        <v>80</v>
      </c>
      <c r="B40" s="172"/>
      <c r="C40" s="185" t="s">
        <v>81</v>
      </c>
      <c r="D40" s="185"/>
      <c r="E40" s="185"/>
      <c r="F40" s="185"/>
      <c r="G40" s="185"/>
      <c r="H40" s="185"/>
      <c r="I40" s="185"/>
      <c r="J40" s="185"/>
      <c r="K40" s="185"/>
      <c r="L40" s="185"/>
      <c r="M40" s="185"/>
      <c r="N40" s="185"/>
      <c r="O40" s="185"/>
      <c r="P40" s="185"/>
      <c r="Q40" s="208"/>
    </row>
    <row r="41" ht="18" customHeight="1" spans="1:17">
      <c r="A41" s="172"/>
      <c r="B41" s="172"/>
      <c r="C41" s="151" t="s">
        <v>82</v>
      </c>
      <c r="D41" s="151"/>
      <c r="E41" s="151"/>
      <c r="F41" s="151"/>
      <c r="G41" s="151"/>
      <c r="H41" s="151"/>
      <c r="I41" s="151"/>
      <c r="J41" s="151"/>
      <c r="K41" s="151"/>
      <c r="L41" s="151"/>
      <c r="M41" s="151"/>
      <c r="N41" s="151"/>
      <c r="O41" s="151"/>
      <c r="P41" s="151"/>
      <c r="Q41" s="208"/>
    </row>
    <row r="42" ht="18" customHeight="1" spans="1:17">
      <c r="A42" s="172"/>
      <c r="B42" s="172"/>
      <c r="C42" s="151" t="s">
        <v>83</v>
      </c>
      <c r="D42" s="151"/>
      <c r="E42" s="151"/>
      <c r="F42" s="151"/>
      <c r="G42" s="151"/>
      <c r="H42" s="151"/>
      <c r="I42" s="151"/>
      <c r="J42" s="151"/>
      <c r="K42" s="151"/>
      <c r="L42" s="151"/>
      <c r="M42" s="151"/>
      <c r="N42" s="151"/>
      <c r="O42" s="151"/>
      <c r="P42" s="151"/>
      <c r="Q42" s="208"/>
    </row>
    <row r="43" spans="1:17">
      <c r="A43" s="158"/>
      <c r="B43" s="158"/>
      <c r="C43" s="158"/>
      <c r="D43" s="158"/>
      <c r="E43" s="158"/>
      <c r="F43" s="158"/>
      <c r="G43" s="158"/>
      <c r="H43" s="158"/>
      <c r="I43" s="158"/>
      <c r="J43" s="158"/>
      <c r="K43" s="158"/>
      <c r="L43" s="158"/>
      <c r="M43" s="158"/>
      <c r="N43" s="158"/>
      <c r="O43" s="158"/>
      <c r="P43" s="158"/>
      <c r="Q43" s="208"/>
    </row>
    <row r="44" ht="50.1" customHeight="1" spans="1:17">
      <c r="A44" s="172" t="s">
        <v>84</v>
      </c>
      <c r="B44" s="172"/>
      <c r="C44" s="151" t="s">
        <v>85</v>
      </c>
      <c r="D44" s="151"/>
      <c r="E44" s="151"/>
      <c r="F44" s="151"/>
      <c r="G44" s="151"/>
      <c r="H44" s="151"/>
      <c r="I44" s="151"/>
      <c r="J44" s="151"/>
      <c r="K44" s="151"/>
      <c r="L44" s="151"/>
      <c r="M44" s="151"/>
      <c r="N44" s="151"/>
      <c r="O44" s="151"/>
      <c r="P44" s="151"/>
      <c r="Q44" s="208"/>
    </row>
    <row r="45" ht="24.95" customHeight="1" spans="1:17">
      <c r="A45" s="186" t="s">
        <v>86</v>
      </c>
      <c r="B45" s="158"/>
      <c r="C45" s="158"/>
      <c r="D45" s="158"/>
      <c r="E45" s="158"/>
      <c r="F45" s="158"/>
      <c r="G45" s="158"/>
      <c r="H45" s="158"/>
      <c r="I45" s="158"/>
      <c r="J45" s="158"/>
      <c r="K45" s="158"/>
      <c r="L45" s="158"/>
      <c r="M45" s="158"/>
      <c r="N45" s="158"/>
      <c r="O45" s="158"/>
      <c r="P45" s="158"/>
      <c r="Q45" s="208"/>
    </row>
    <row r="46" ht="24.95" customHeight="1" spans="1:17">
      <c r="A46" s="187"/>
      <c r="B46" s="158"/>
      <c r="C46" s="158"/>
      <c r="D46" s="158"/>
      <c r="E46" s="158"/>
      <c r="F46" s="158"/>
      <c r="G46" s="158"/>
      <c r="H46" s="158"/>
      <c r="I46" s="158"/>
      <c r="J46" s="158"/>
      <c r="K46" s="158"/>
      <c r="L46" s="158"/>
      <c r="M46" s="158"/>
      <c r="N46" s="158"/>
      <c r="O46" s="158"/>
      <c r="P46" s="158"/>
      <c r="Q46" s="208"/>
    </row>
    <row r="47" ht="24.95" customHeight="1" spans="1:17">
      <c r="A47" s="187"/>
      <c r="B47" s="158"/>
      <c r="C47" s="158"/>
      <c r="D47" s="158"/>
      <c r="E47" s="158"/>
      <c r="F47" s="158"/>
      <c r="G47" s="158"/>
      <c r="H47" s="158"/>
      <c r="I47" s="158"/>
      <c r="J47" s="158"/>
      <c r="K47" s="158"/>
      <c r="L47" s="158"/>
      <c r="M47" s="158"/>
      <c r="N47" s="158"/>
      <c r="O47" s="158"/>
      <c r="P47" s="158"/>
      <c r="Q47" s="208"/>
    </row>
    <row r="48" ht="24.95" customHeight="1" spans="1:17">
      <c r="A48" s="187"/>
      <c r="B48" s="158"/>
      <c r="C48" s="158"/>
      <c r="D48" s="158"/>
      <c r="E48" s="158"/>
      <c r="F48" s="158"/>
      <c r="G48" s="158"/>
      <c r="H48" s="158"/>
      <c r="I48" s="158"/>
      <c r="J48" s="158"/>
      <c r="K48" s="158"/>
      <c r="L48" s="158"/>
      <c r="M48" s="158"/>
      <c r="N48" s="158"/>
      <c r="O48" s="158"/>
      <c r="P48" s="158"/>
      <c r="Q48" s="208"/>
    </row>
    <row r="49" ht="24.95" customHeight="1" spans="1:17">
      <c r="A49" s="187"/>
      <c r="B49" s="158"/>
      <c r="C49" s="158"/>
      <c r="D49" s="158"/>
      <c r="E49" s="158"/>
      <c r="F49" s="158"/>
      <c r="G49" s="158"/>
      <c r="H49" s="158"/>
      <c r="I49" s="158"/>
      <c r="J49" s="158"/>
      <c r="K49" s="158"/>
      <c r="L49" s="158"/>
      <c r="M49" s="158"/>
      <c r="N49" s="158"/>
      <c r="O49" s="158"/>
      <c r="P49" s="158"/>
      <c r="Q49" s="208"/>
    </row>
    <row r="50" spans="1:17">
      <c r="A50" s="188"/>
      <c r="B50" s="189" t="s">
        <v>87</v>
      </c>
      <c r="C50" s="163"/>
      <c r="D50" s="163"/>
      <c r="E50" s="190" t="s">
        <v>88</v>
      </c>
      <c r="F50" s="190"/>
      <c r="G50" s="190"/>
      <c r="H50" s="190"/>
      <c r="I50" s="190"/>
      <c r="J50" s="190"/>
      <c r="K50" s="163" t="s">
        <v>89</v>
      </c>
      <c r="L50" s="163"/>
      <c r="M50" s="163"/>
      <c r="N50" s="163"/>
      <c r="O50" s="163"/>
      <c r="P50" s="164"/>
      <c r="Q50" s="208"/>
    </row>
    <row r="51" ht="24.95" customHeight="1" spans="1:17">
      <c r="A51" s="186" t="s">
        <v>90</v>
      </c>
      <c r="B51" s="158"/>
      <c r="C51" s="158"/>
      <c r="D51" s="158"/>
      <c r="E51" s="158"/>
      <c r="F51" s="158"/>
      <c r="G51" s="158"/>
      <c r="H51" s="158"/>
      <c r="I51" s="158"/>
      <c r="J51" s="158"/>
      <c r="K51" s="158"/>
      <c r="L51" s="158"/>
      <c r="M51" s="158"/>
      <c r="N51" s="158"/>
      <c r="O51" s="158"/>
      <c r="P51" s="158"/>
      <c r="Q51" s="208"/>
    </row>
    <row r="52" ht="24.95" customHeight="1" spans="1:17">
      <c r="A52" s="187"/>
      <c r="B52" s="158"/>
      <c r="C52" s="158"/>
      <c r="D52" s="158"/>
      <c r="E52" s="158"/>
      <c r="F52" s="158"/>
      <c r="G52" s="158"/>
      <c r="H52" s="158"/>
      <c r="I52" s="158"/>
      <c r="J52" s="158"/>
      <c r="K52" s="158"/>
      <c r="L52" s="158"/>
      <c r="M52" s="158"/>
      <c r="N52" s="158"/>
      <c r="O52" s="158"/>
      <c r="P52" s="158"/>
      <c r="Q52" s="208"/>
    </row>
    <row r="53" ht="24.95" customHeight="1" spans="1:17">
      <c r="A53" s="187"/>
      <c r="B53" s="158"/>
      <c r="C53" s="158"/>
      <c r="D53" s="158"/>
      <c r="E53" s="158"/>
      <c r="F53" s="158"/>
      <c r="G53" s="158"/>
      <c r="H53" s="158"/>
      <c r="I53" s="158"/>
      <c r="J53" s="158"/>
      <c r="K53" s="158"/>
      <c r="L53" s="158"/>
      <c r="M53" s="158"/>
      <c r="N53" s="158"/>
      <c r="O53" s="158"/>
      <c r="P53" s="158"/>
      <c r="Q53" s="208"/>
    </row>
    <row r="54" ht="24.95" customHeight="1" spans="1:17">
      <c r="A54" s="187"/>
      <c r="B54" s="158"/>
      <c r="C54" s="158"/>
      <c r="D54" s="158"/>
      <c r="E54" s="158"/>
      <c r="F54" s="158"/>
      <c r="G54" s="158"/>
      <c r="H54" s="158"/>
      <c r="I54" s="158"/>
      <c r="J54" s="158"/>
      <c r="K54" s="158"/>
      <c r="L54" s="158"/>
      <c r="M54" s="158"/>
      <c r="N54" s="158"/>
      <c r="O54" s="158"/>
      <c r="P54" s="158"/>
      <c r="Q54" s="208"/>
    </row>
    <row r="55" spans="1:17">
      <c r="A55" s="188"/>
      <c r="B55" s="189" t="s">
        <v>91</v>
      </c>
      <c r="C55" s="163"/>
      <c r="D55" s="163"/>
      <c r="E55" s="190" t="s">
        <v>92</v>
      </c>
      <c r="F55" s="190"/>
      <c r="G55" s="190"/>
      <c r="H55" s="190"/>
      <c r="I55" s="190"/>
      <c r="J55" s="190"/>
      <c r="K55" s="163" t="s">
        <v>93</v>
      </c>
      <c r="L55" s="163"/>
      <c r="M55" s="163"/>
      <c r="N55" s="163"/>
      <c r="O55" s="163"/>
      <c r="P55" s="164"/>
      <c r="Q55" s="208"/>
    </row>
  </sheetData>
  <mergeCells count="71">
    <mergeCell ref="A4:B4"/>
    <mergeCell ref="C4:P4"/>
    <mergeCell ref="A17:B17"/>
    <mergeCell ref="C17:G17"/>
    <mergeCell ref="H17:P17"/>
    <mergeCell ref="A18:B18"/>
    <mergeCell ref="C18:G18"/>
    <mergeCell ref="H18:P18"/>
    <mergeCell ref="A19:P19"/>
    <mergeCell ref="A20:B20"/>
    <mergeCell ref="C20:F20"/>
    <mergeCell ref="G20:H20"/>
    <mergeCell ref="I20:J20"/>
    <mergeCell ref="K20:N20"/>
    <mergeCell ref="O20:P20"/>
    <mergeCell ref="A21:B21"/>
    <mergeCell ref="K21:L21"/>
    <mergeCell ref="A22:B22"/>
    <mergeCell ref="K22:L22"/>
    <mergeCell ref="A23:B23"/>
    <mergeCell ref="A24:B24"/>
    <mergeCell ref="A25:B25"/>
    <mergeCell ref="A29:B29"/>
    <mergeCell ref="A30:B30"/>
    <mergeCell ref="C30:F30"/>
    <mergeCell ref="G30:H30"/>
    <mergeCell ref="I30:J30"/>
    <mergeCell ref="K30:N30"/>
    <mergeCell ref="O30:P30"/>
    <mergeCell ref="A31:B31"/>
    <mergeCell ref="A32:P32"/>
    <mergeCell ref="A33:P33"/>
    <mergeCell ref="A34:P34"/>
    <mergeCell ref="A35:B35"/>
    <mergeCell ref="C35:P35"/>
    <mergeCell ref="A36:B36"/>
    <mergeCell ref="C36:P36"/>
    <mergeCell ref="A37:B37"/>
    <mergeCell ref="C37:P37"/>
    <mergeCell ref="A38:B38"/>
    <mergeCell ref="C38:P38"/>
    <mergeCell ref="A39:P39"/>
    <mergeCell ref="C40:P40"/>
    <mergeCell ref="C41:P41"/>
    <mergeCell ref="C42:P42"/>
    <mergeCell ref="A43:P43"/>
    <mergeCell ref="A44:B44"/>
    <mergeCell ref="C44:P44"/>
    <mergeCell ref="B50:D50"/>
    <mergeCell ref="E50:J50"/>
    <mergeCell ref="K50:P50"/>
    <mergeCell ref="B55:D55"/>
    <mergeCell ref="E55:J55"/>
    <mergeCell ref="K55:P55"/>
    <mergeCell ref="A45:A50"/>
    <mergeCell ref="A51:A55"/>
    <mergeCell ref="A7:B8"/>
    <mergeCell ref="A5:B6"/>
    <mergeCell ref="A15:B16"/>
    <mergeCell ref="A13:B14"/>
    <mergeCell ref="C13:P14"/>
    <mergeCell ref="C15:P16"/>
    <mergeCell ref="C5:P6"/>
    <mergeCell ref="A11:B12"/>
    <mergeCell ref="A9:B10"/>
    <mergeCell ref="C7:P8"/>
    <mergeCell ref="C9:P10"/>
    <mergeCell ref="C11:P12"/>
    <mergeCell ref="B45:P49"/>
    <mergeCell ref="B51:P54"/>
    <mergeCell ref="A40:B42"/>
  </mergeCells>
  <hyperlinks>
    <hyperlink ref="A25" r:id="rId1" display="GST Value (INR)"/>
  </hyperlinks>
  <pageMargins left="0.769444444444444" right="0.339583333333333" top="0.579861111111111" bottom="0.279861111111111" header="0.459722222222222" footer="0.3"/>
  <pageSetup paperSize="9" scale="67"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F9"/>
  <sheetViews>
    <sheetView topLeftCell="D1" workbookViewId="0">
      <selection activeCell="E16" sqref="E16"/>
    </sheetView>
  </sheetViews>
  <sheetFormatPr defaultColWidth="9" defaultRowHeight="15" outlineLevelCol="5"/>
  <cols>
    <col min="4" max="4" width="7.71428571428571" customWidth="1"/>
    <col min="5" max="5" width="62.1428571428571" customWidth="1"/>
    <col min="6" max="6" width="7.85714285714286" style="138" customWidth="1"/>
  </cols>
  <sheetData>
    <row r="3" s="137" customFormat="1" spans="4:6">
      <c r="D3" s="139" t="s">
        <v>94</v>
      </c>
      <c r="E3" s="139" t="s">
        <v>95</v>
      </c>
      <c r="F3" s="139" t="s">
        <v>96</v>
      </c>
    </row>
    <row r="4" s="137" customFormat="1" ht="38.25" spans="4:6">
      <c r="D4" s="140">
        <v>1</v>
      </c>
      <c r="E4" s="141" t="s">
        <v>97</v>
      </c>
      <c r="F4" s="142" t="s">
        <v>98</v>
      </c>
    </row>
    <row r="5" ht="25.5" spans="4:6">
      <c r="D5" s="140">
        <v>1</v>
      </c>
      <c r="E5" s="141" t="s">
        <v>99</v>
      </c>
      <c r="F5" s="143">
        <v>75000</v>
      </c>
    </row>
    <row r="6" spans="4:6">
      <c r="D6" s="140">
        <v>1</v>
      </c>
      <c r="E6" s="141" t="s">
        <v>100</v>
      </c>
      <c r="F6" s="143">
        <v>15000</v>
      </c>
    </row>
    <row r="7" spans="4:6">
      <c r="D7" s="140">
        <v>1</v>
      </c>
      <c r="E7" s="141" t="s">
        <v>101</v>
      </c>
      <c r="F7" s="143">
        <v>15000</v>
      </c>
    </row>
    <row r="8" spans="4:6">
      <c r="D8" s="140">
        <v>1</v>
      </c>
      <c r="E8" s="144" t="s">
        <v>102</v>
      </c>
      <c r="F8" s="143">
        <v>50000</v>
      </c>
    </row>
    <row r="9" spans="4:6">
      <c r="D9" s="140">
        <v>1</v>
      </c>
      <c r="E9" s="144" t="s">
        <v>103</v>
      </c>
      <c r="F9" s="143">
        <v>4999</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3"/>
  <sheetViews>
    <sheetView workbookViewId="0">
      <selection activeCell="B11" sqref="B11"/>
    </sheetView>
  </sheetViews>
  <sheetFormatPr defaultColWidth="9" defaultRowHeight="15" outlineLevelCol="7"/>
  <cols>
    <col min="1" max="1" width="26.7142857142857" customWidth="1"/>
    <col min="2" max="2" width="20.4285714285714" customWidth="1"/>
    <col min="3" max="3" width="14.8571428571429" customWidth="1"/>
    <col min="4" max="4" width="13.7142857142857" customWidth="1"/>
    <col min="5" max="5" width="15.2857142857143" customWidth="1"/>
    <col min="6" max="6" width="12.7142857142857" customWidth="1"/>
    <col min="7" max="7" width="14.1428571428571" customWidth="1"/>
    <col min="8" max="8" width="41.1428571428571" customWidth="1"/>
  </cols>
  <sheetData>
    <row r="1" ht="15.75" spans="2:6">
      <c r="B1" s="120" t="s">
        <v>104</v>
      </c>
      <c r="C1" s="120"/>
      <c r="D1" s="120"/>
      <c r="E1" s="120"/>
      <c r="F1" s="120"/>
    </row>
    <row r="3" spans="1:8">
      <c r="A3" s="121" t="s">
        <v>105</v>
      </c>
      <c r="B3" s="121" t="s">
        <v>106</v>
      </c>
      <c r="C3" s="121" t="s">
        <v>107</v>
      </c>
      <c r="D3" s="122" t="s">
        <v>108</v>
      </c>
      <c r="E3" s="122"/>
      <c r="F3" s="122" t="s">
        <v>109</v>
      </c>
      <c r="G3" s="122"/>
      <c r="H3" s="121" t="s">
        <v>110</v>
      </c>
    </row>
    <row r="4" spans="1:8">
      <c r="A4" s="121"/>
      <c r="B4" s="121"/>
      <c r="C4" s="121"/>
      <c r="D4" s="121" t="s">
        <v>111</v>
      </c>
      <c r="E4" s="121" t="s">
        <v>112</v>
      </c>
      <c r="F4" s="121" t="s">
        <v>111</v>
      </c>
      <c r="G4" s="121" t="s">
        <v>112</v>
      </c>
      <c r="H4" s="121"/>
    </row>
    <row r="5" ht="60" spans="1:8">
      <c r="A5" s="123" t="s">
        <v>113</v>
      </c>
      <c r="B5" s="123" t="s">
        <v>114</v>
      </c>
      <c r="C5" s="123" t="s">
        <v>115</v>
      </c>
      <c r="D5" s="124">
        <f>1000*3</f>
        <v>3000</v>
      </c>
      <c r="E5" s="125">
        <f>D5*0.03531</f>
        <v>105.93</v>
      </c>
      <c r="F5" s="124">
        <v>800</v>
      </c>
      <c r="G5" s="125">
        <f>F5*0.03531</f>
        <v>28.248</v>
      </c>
      <c r="H5" s="126" t="s">
        <v>116</v>
      </c>
    </row>
    <row r="6" ht="45" spans="1:8">
      <c r="A6" s="123" t="s">
        <v>117</v>
      </c>
      <c r="B6" s="123"/>
      <c r="C6" s="123"/>
      <c r="D6" s="124">
        <v>500</v>
      </c>
      <c r="E6" s="125">
        <f t="shared" ref="E6:E10" si="0">D6*0.03531</f>
        <v>17.655</v>
      </c>
      <c r="F6" s="124">
        <v>300</v>
      </c>
      <c r="G6" s="125">
        <f t="shared" ref="G6:G10" si="1">F6*0.03531</f>
        <v>10.593</v>
      </c>
      <c r="H6" s="126" t="s">
        <v>118</v>
      </c>
    </row>
    <row r="7" spans="1:8">
      <c r="A7" s="123" t="s">
        <v>119</v>
      </c>
      <c r="B7" s="123"/>
      <c r="C7" s="123"/>
      <c r="D7" s="124">
        <v>600</v>
      </c>
      <c r="E7" s="125">
        <f t="shared" si="0"/>
        <v>21.186</v>
      </c>
      <c r="F7" s="124">
        <v>0</v>
      </c>
      <c r="G7" s="125">
        <f t="shared" si="1"/>
        <v>0</v>
      </c>
      <c r="H7" s="127" t="s">
        <v>120</v>
      </c>
    </row>
    <row r="8" spans="1:8">
      <c r="A8" s="128" t="s">
        <v>121</v>
      </c>
      <c r="B8" s="128"/>
      <c r="C8" s="128"/>
      <c r="D8" s="124">
        <v>200</v>
      </c>
      <c r="E8" s="125">
        <f t="shared" si="0"/>
        <v>7.062</v>
      </c>
      <c r="F8" s="124">
        <v>0</v>
      </c>
      <c r="G8" s="125">
        <f t="shared" si="1"/>
        <v>0</v>
      </c>
      <c r="H8" s="127" t="s">
        <v>122</v>
      </c>
    </row>
    <row r="9" spans="1:8">
      <c r="A9" s="128" t="s">
        <v>123</v>
      </c>
      <c r="B9" s="128"/>
      <c r="C9" s="128"/>
      <c r="D9" s="124">
        <v>300</v>
      </c>
      <c r="E9" s="125">
        <f t="shared" si="0"/>
        <v>10.593</v>
      </c>
      <c r="F9" s="124">
        <v>300</v>
      </c>
      <c r="G9" s="125">
        <f t="shared" si="1"/>
        <v>10.593</v>
      </c>
      <c r="H9" s="127" t="s">
        <v>124</v>
      </c>
    </row>
    <row r="10" ht="45" spans="1:8">
      <c r="A10" s="129" t="s">
        <v>125</v>
      </c>
      <c r="B10" s="129"/>
      <c r="C10" s="129"/>
      <c r="D10" s="124">
        <f>594*8/4</f>
        <v>1188</v>
      </c>
      <c r="E10" s="125">
        <f t="shared" si="0"/>
        <v>41.94828</v>
      </c>
      <c r="F10" s="124">
        <v>300</v>
      </c>
      <c r="G10" s="125">
        <f t="shared" si="1"/>
        <v>10.593</v>
      </c>
      <c r="H10" s="126" t="s">
        <v>126</v>
      </c>
    </row>
    <row r="11" spans="1:8">
      <c r="A11" s="81"/>
      <c r="B11" s="81"/>
      <c r="C11" s="81"/>
      <c r="D11" s="124"/>
      <c r="E11" s="125">
        <f>SUM(E5:E10)</f>
        <v>204.37428</v>
      </c>
      <c r="F11" s="124"/>
      <c r="G11" s="125">
        <f>SUM(G5:G10)</f>
        <v>60.027</v>
      </c>
      <c r="H11" s="81"/>
    </row>
    <row r="12" spans="1:7">
      <c r="A12" s="130" t="s">
        <v>127</v>
      </c>
      <c r="B12" s="130"/>
      <c r="C12" s="130"/>
      <c r="D12" s="130"/>
      <c r="E12" s="131"/>
      <c r="F12" s="132"/>
      <c r="G12" s="133">
        <f>G11*0.8</f>
        <v>48.0216</v>
      </c>
    </row>
    <row r="13" spans="1:8">
      <c r="A13" s="134" t="s">
        <v>128</v>
      </c>
      <c r="B13" s="134"/>
      <c r="C13" s="134"/>
      <c r="D13" s="134"/>
      <c r="G13" s="135" t="s">
        <v>129</v>
      </c>
      <c r="H13" s="136"/>
    </row>
  </sheetData>
  <mergeCells count="9">
    <mergeCell ref="B1:F1"/>
    <mergeCell ref="D3:E3"/>
    <mergeCell ref="F3:G3"/>
    <mergeCell ref="A12:D12"/>
    <mergeCell ref="A13:D13"/>
    <mergeCell ref="A3:A4"/>
    <mergeCell ref="B3:B4"/>
    <mergeCell ref="C3:C4"/>
    <mergeCell ref="H3:H4"/>
  </mergeCells>
  <pageMargins left="0.699305555555556" right="0.699305555555556" top="0.75" bottom="0.75" header="0.3" footer="0.3"/>
  <pageSetup paperSize="9" scale="82"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31"/>
  <sheetViews>
    <sheetView workbookViewId="0">
      <pane xSplit="2" ySplit="5" topLeftCell="C6" activePane="bottomRight" state="frozen"/>
      <selection/>
      <selection pane="topRight"/>
      <selection pane="bottomLeft"/>
      <selection pane="bottomRight" activeCell="C8" sqref="C8"/>
    </sheetView>
  </sheetViews>
  <sheetFormatPr defaultColWidth="9" defaultRowHeight="18.75"/>
  <cols>
    <col min="1" max="1" width="4.14285714285714" style="97" customWidth="1"/>
    <col min="2" max="2" width="33" style="98" customWidth="1"/>
    <col min="3" max="7" width="20.7142857142857" style="98" customWidth="1"/>
    <col min="8" max="16384" width="9.14285714285714" style="98"/>
  </cols>
  <sheetData>
    <row r="1" ht="15" spans="1:7">
      <c r="A1" s="209" t="s">
        <v>130</v>
      </c>
      <c r="B1" s="99"/>
      <c r="C1" s="99"/>
      <c r="D1" s="99"/>
      <c r="E1" s="99"/>
      <c r="F1" s="99"/>
      <c r="G1" s="99"/>
    </row>
    <row r="2" ht="15.75" spans="1:7">
      <c r="A2" s="100"/>
      <c r="B2" s="100"/>
      <c r="C2" s="100"/>
      <c r="D2" s="100"/>
      <c r="E2" s="100"/>
      <c r="F2" s="100"/>
      <c r="G2" s="100"/>
    </row>
    <row r="3" ht="16.5" customHeight="1" spans="1:7">
      <c r="A3" s="101" t="s">
        <v>131</v>
      </c>
      <c r="B3" s="102"/>
      <c r="C3" s="102"/>
      <c r="D3" s="102"/>
      <c r="E3" s="102"/>
      <c r="F3" s="102"/>
      <c r="G3" s="103"/>
    </row>
    <row r="4" ht="15.75" spans="1:7">
      <c r="A4" s="104"/>
      <c r="B4" s="105"/>
      <c r="C4" s="105"/>
      <c r="D4" s="105"/>
      <c r="E4" s="105"/>
      <c r="F4" s="105"/>
      <c r="G4" s="106"/>
    </row>
    <row r="5" ht="25.5" customHeight="1" spans="1:7">
      <c r="A5" s="107" t="s">
        <v>132</v>
      </c>
      <c r="B5" s="107" t="s">
        <v>133</v>
      </c>
      <c r="C5" s="107" t="s">
        <v>134</v>
      </c>
      <c r="D5" s="107" t="s">
        <v>20</v>
      </c>
      <c r="E5" s="107" t="s">
        <v>135</v>
      </c>
      <c r="F5" s="108" t="s">
        <v>136</v>
      </c>
      <c r="G5" s="107" t="s">
        <v>137</v>
      </c>
    </row>
    <row r="6" ht="35.1" customHeight="1" spans="1:7">
      <c r="A6" s="109">
        <v>1</v>
      </c>
      <c r="B6" s="110" t="s">
        <v>138</v>
      </c>
      <c r="C6" s="109">
        <v>65.1</v>
      </c>
      <c r="D6" s="109">
        <v>73</v>
      </c>
      <c r="E6" s="109" t="s">
        <v>139</v>
      </c>
      <c r="F6" s="111" t="s">
        <v>140</v>
      </c>
      <c r="G6" s="109">
        <v>69.94</v>
      </c>
    </row>
    <row r="7" ht="35.1" customHeight="1" spans="1:7">
      <c r="A7" s="109">
        <v>2</v>
      </c>
      <c r="B7" s="110" t="s">
        <v>141</v>
      </c>
      <c r="C7" s="109" t="s">
        <v>134</v>
      </c>
      <c r="D7" s="109" t="s">
        <v>142</v>
      </c>
      <c r="E7" s="109" t="s">
        <v>135</v>
      </c>
      <c r="F7" s="111" t="s">
        <v>136</v>
      </c>
      <c r="G7" s="109" t="s">
        <v>143</v>
      </c>
    </row>
    <row r="8" ht="35.1" customHeight="1" spans="1:7">
      <c r="A8" s="109">
        <v>3</v>
      </c>
      <c r="B8" s="110" t="s">
        <v>144</v>
      </c>
      <c r="C8" s="109" t="s">
        <v>145</v>
      </c>
      <c r="D8" s="112" t="s">
        <v>146</v>
      </c>
      <c r="E8" s="113" t="s">
        <v>147</v>
      </c>
      <c r="F8" s="114" t="s">
        <v>148</v>
      </c>
      <c r="G8" s="113" t="s">
        <v>149</v>
      </c>
    </row>
    <row r="9" ht="35.1" customHeight="1" spans="1:7">
      <c r="A9" s="109">
        <v>4</v>
      </c>
      <c r="B9" s="110" t="s">
        <v>150</v>
      </c>
      <c r="C9" s="109">
        <v>7.5</v>
      </c>
      <c r="D9" s="109">
        <v>7</v>
      </c>
      <c r="E9" s="109">
        <v>8</v>
      </c>
      <c r="F9" s="111">
        <v>7.5</v>
      </c>
      <c r="G9" s="109">
        <v>7.5</v>
      </c>
    </row>
    <row r="10" ht="35.1" customHeight="1" spans="1:7">
      <c r="A10" s="109">
        <v>5</v>
      </c>
      <c r="B10" s="110" t="s">
        <v>151</v>
      </c>
      <c r="C10" s="109" t="s">
        <v>152</v>
      </c>
      <c r="D10" s="112" t="s">
        <v>152</v>
      </c>
      <c r="E10" s="112" t="s">
        <v>153</v>
      </c>
      <c r="F10" s="115" t="s">
        <v>152</v>
      </c>
      <c r="G10" s="109" t="s">
        <v>154</v>
      </c>
    </row>
    <row r="11" ht="35.1" customHeight="1" spans="1:7">
      <c r="A11" s="109">
        <v>6</v>
      </c>
      <c r="B11" s="110" t="s">
        <v>155</v>
      </c>
      <c r="C11" s="109" t="s">
        <v>156</v>
      </c>
      <c r="D11" s="109" t="s">
        <v>157</v>
      </c>
      <c r="E11" s="109" t="s">
        <v>157</v>
      </c>
      <c r="F11" s="111" t="s">
        <v>158</v>
      </c>
      <c r="G11" s="109" t="s">
        <v>158</v>
      </c>
    </row>
    <row r="12" ht="35.1" customHeight="1" spans="1:7">
      <c r="A12" s="109">
        <v>7</v>
      </c>
      <c r="B12" s="110" t="s">
        <v>159</v>
      </c>
      <c r="C12" s="109" t="s">
        <v>160</v>
      </c>
      <c r="D12" s="109" t="s">
        <v>161</v>
      </c>
      <c r="E12" s="109" t="s">
        <v>161</v>
      </c>
      <c r="F12" s="111" t="s">
        <v>161</v>
      </c>
      <c r="G12" s="109" t="s">
        <v>161</v>
      </c>
    </row>
    <row r="13" ht="35.1" customHeight="1" spans="1:7">
      <c r="A13" s="109">
        <v>8</v>
      </c>
      <c r="B13" s="110" t="s">
        <v>162</v>
      </c>
      <c r="C13" s="109" t="s">
        <v>163</v>
      </c>
      <c r="D13" s="109" t="s">
        <v>164</v>
      </c>
      <c r="E13" s="109" t="s">
        <v>165</v>
      </c>
      <c r="F13" s="111" t="s">
        <v>165</v>
      </c>
      <c r="G13" s="109" t="s">
        <v>163</v>
      </c>
    </row>
    <row r="14" ht="35.1" customHeight="1" spans="1:7">
      <c r="A14" s="109">
        <v>9</v>
      </c>
      <c r="B14" s="110" t="s">
        <v>166</v>
      </c>
      <c r="C14" s="109" t="s">
        <v>167</v>
      </c>
      <c r="D14" s="109" t="s">
        <v>167</v>
      </c>
      <c r="E14" s="109" t="s">
        <v>167</v>
      </c>
      <c r="F14" s="111" t="s">
        <v>167</v>
      </c>
      <c r="G14" s="109" t="s">
        <v>167</v>
      </c>
    </row>
    <row r="15" ht="35.1" customHeight="1" spans="1:7">
      <c r="A15" s="109">
        <v>10</v>
      </c>
      <c r="B15" s="110" t="s">
        <v>168</v>
      </c>
      <c r="C15" s="109" t="s">
        <v>134</v>
      </c>
      <c r="D15" s="116" t="s">
        <v>169</v>
      </c>
      <c r="E15" s="116" t="s">
        <v>169</v>
      </c>
      <c r="F15" s="117" t="s">
        <v>170</v>
      </c>
      <c r="G15" s="109" t="s">
        <v>171</v>
      </c>
    </row>
    <row r="16" ht="35.1" customHeight="1" spans="1:7">
      <c r="A16" s="109">
        <v>11</v>
      </c>
      <c r="B16" s="110" t="s">
        <v>172</v>
      </c>
      <c r="C16" s="116" t="s">
        <v>169</v>
      </c>
      <c r="D16" s="116" t="s">
        <v>169</v>
      </c>
      <c r="E16" s="116" t="s">
        <v>169</v>
      </c>
      <c r="F16" s="117" t="s">
        <v>173</v>
      </c>
      <c r="G16" s="116" t="s">
        <v>169</v>
      </c>
    </row>
    <row r="17" ht="35.1" customHeight="1" spans="1:7">
      <c r="A17" s="109">
        <v>12</v>
      </c>
      <c r="B17" s="110" t="s">
        <v>174</v>
      </c>
      <c r="C17" s="109" t="s">
        <v>175</v>
      </c>
      <c r="D17" s="109" t="s">
        <v>176</v>
      </c>
      <c r="E17" s="109" t="s">
        <v>175</v>
      </c>
      <c r="F17" s="111" t="s">
        <v>177</v>
      </c>
      <c r="G17" s="109" t="s">
        <v>175</v>
      </c>
    </row>
    <row r="18" ht="35.1" customHeight="1" spans="1:7">
      <c r="A18" s="109">
        <v>13</v>
      </c>
      <c r="B18" s="110" t="s">
        <v>178</v>
      </c>
      <c r="C18" s="116" t="s">
        <v>169</v>
      </c>
      <c r="D18" s="116" t="s">
        <v>169</v>
      </c>
      <c r="E18" s="109" t="s">
        <v>179</v>
      </c>
      <c r="F18" s="109" t="s">
        <v>179</v>
      </c>
      <c r="G18" s="109" t="s">
        <v>179</v>
      </c>
    </row>
    <row r="19" ht="35.1" customHeight="1" spans="1:7">
      <c r="A19" s="109">
        <v>14</v>
      </c>
      <c r="B19" s="110" t="s">
        <v>180</v>
      </c>
      <c r="C19" s="109">
        <v>1000</v>
      </c>
      <c r="D19" s="112">
        <v>1000</v>
      </c>
      <c r="E19" s="109">
        <v>1000</v>
      </c>
      <c r="F19" s="111">
        <v>1000</v>
      </c>
      <c r="G19" s="109">
        <v>1000</v>
      </c>
    </row>
    <row r="20" ht="37.5" customHeight="1" spans="1:7">
      <c r="A20" s="109">
        <v>15</v>
      </c>
      <c r="B20" s="110" t="s">
        <v>181</v>
      </c>
      <c r="C20" s="116" t="s">
        <v>169</v>
      </c>
      <c r="D20" s="116" t="s">
        <v>169</v>
      </c>
      <c r="E20" s="109">
        <v>12</v>
      </c>
      <c r="F20" s="117">
        <v>12</v>
      </c>
      <c r="G20" s="116" t="s">
        <v>169</v>
      </c>
    </row>
    <row r="21" ht="35.1" customHeight="1" spans="1:11">
      <c r="A21" s="109">
        <v>16</v>
      </c>
      <c r="B21" s="118" t="s">
        <v>182</v>
      </c>
      <c r="C21" s="109" t="s">
        <v>183</v>
      </c>
      <c r="D21" s="112" t="s">
        <v>184</v>
      </c>
      <c r="E21" s="112" t="s">
        <v>184</v>
      </c>
      <c r="F21" s="115" t="s">
        <v>185</v>
      </c>
      <c r="G21" s="109" t="s">
        <v>183</v>
      </c>
      <c r="K21" s="119"/>
    </row>
    <row r="22" ht="35.1" customHeight="1" spans="1:7">
      <c r="A22" s="109">
        <v>17</v>
      </c>
      <c r="B22" s="118" t="s">
        <v>186</v>
      </c>
      <c r="C22" s="109" t="s">
        <v>183</v>
      </c>
      <c r="D22" s="112" t="s">
        <v>187</v>
      </c>
      <c r="E22" s="112" t="s">
        <v>187</v>
      </c>
      <c r="F22" s="115" t="s">
        <v>188</v>
      </c>
      <c r="G22" s="109" t="s">
        <v>183</v>
      </c>
    </row>
    <row r="23" ht="35.1" customHeight="1" spans="1:7">
      <c r="A23" s="109">
        <v>18</v>
      </c>
      <c r="B23" s="110" t="s">
        <v>189</v>
      </c>
      <c r="C23" s="109" t="s">
        <v>167</v>
      </c>
      <c r="D23" s="109" t="s">
        <v>167</v>
      </c>
      <c r="E23" s="116" t="s">
        <v>169</v>
      </c>
      <c r="F23" s="111" t="s">
        <v>167</v>
      </c>
      <c r="G23" s="109" t="s">
        <v>167</v>
      </c>
    </row>
    <row r="24" ht="47.25" customHeight="1" spans="1:7">
      <c r="A24" s="109">
        <v>19</v>
      </c>
      <c r="B24" s="110" t="s">
        <v>190</v>
      </c>
      <c r="C24" s="116" t="s">
        <v>169</v>
      </c>
      <c r="D24" s="109" t="s">
        <v>191</v>
      </c>
      <c r="E24" s="116" t="s">
        <v>169</v>
      </c>
      <c r="F24" s="111" t="s">
        <v>192</v>
      </c>
      <c r="G24" s="109" t="s">
        <v>193</v>
      </c>
    </row>
    <row r="25" ht="37.5" customHeight="1" spans="1:7">
      <c r="A25" s="109">
        <v>20</v>
      </c>
      <c r="B25" s="110" t="s">
        <v>194</v>
      </c>
      <c r="C25" s="109">
        <v>278</v>
      </c>
      <c r="D25" s="109">
        <v>612</v>
      </c>
      <c r="E25" s="116" t="s">
        <v>169</v>
      </c>
      <c r="F25" s="111" t="s">
        <v>195</v>
      </c>
      <c r="G25" s="109">
        <v>404</v>
      </c>
    </row>
    <row r="26" ht="35.1" customHeight="1" spans="1:7">
      <c r="A26" s="109">
        <v>21</v>
      </c>
      <c r="B26" s="110" t="s">
        <v>196</v>
      </c>
      <c r="C26" s="116" t="s">
        <v>169</v>
      </c>
      <c r="D26" s="109" t="s">
        <v>161</v>
      </c>
      <c r="E26" s="116" t="s">
        <v>169</v>
      </c>
      <c r="F26" s="109" t="s">
        <v>161</v>
      </c>
      <c r="G26" s="109" t="s">
        <v>161</v>
      </c>
    </row>
    <row r="27" ht="35.1" customHeight="1" spans="1:7">
      <c r="A27" s="109">
        <v>22</v>
      </c>
      <c r="B27" s="110" t="s">
        <v>197</v>
      </c>
      <c r="C27" s="116" t="s">
        <v>169</v>
      </c>
      <c r="D27" s="116" t="s">
        <v>169</v>
      </c>
      <c r="E27" s="116" t="s">
        <v>169</v>
      </c>
      <c r="F27" s="117">
        <v>6700</v>
      </c>
      <c r="G27" s="109">
        <v>3552</v>
      </c>
    </row>
    <row r="28" ht="35.1" customHeight="1" spans="1:7">
      <c r="A28" s="109">
        <v>23</v>
      </c>
      <c r="B28" s="110" t="s">
        <v>198</v>
      </c>
      <c r="C28" s="116" t="s">
        <v>169</v>
      </c>
      <c r="D28" s="116" t="s">
        <v>169</v>
      </c>
      <c r="E28" s="116" t="s">
        <v>169</v>
      </c>
      <c r="F28" s="117">
        <v>2313</v>
      </c>
      <c r="G28" s="109">
        <v>1184</v>
      </c>
    </row>
    <row r="29" ht="35.1" customHeight="1" spans="1:7">
      <c r="A29" s="109">
        <v>24</v>
      </c>
      <c r="B29" s="110" t="s">
        <v>199</v>
      </c>
      <c r="C29" s="116" t="s">
        <v>169</v>
      </c>
      <c r="D29" s="116" t="s">
        <v>169</v>
      </c>
      <c r="E29" s="116" t="s">
        <v>169</v>
      </c>
      <c r="F29" s="117">
        <v>48</v>
      </c>
      <c r="G29" s="109">
        <v>45</v>
      </c>
    </row>
    <row r="30" ht="35.1" customHeight="1" spans="1:7">
      <c r="A30" s="109">
        <v>25</v>
      </c>
      <c r="B30" s="110" t="s">
        <v>200</v>
      </c>
      <c r="C30" s="109">
        <v>73</v>
      </c>
      <c r="D30" s="109">
        <v>69</v>
      </c>
      <c r="E30" s="109">
        <v>68</v>
      </c>
      <c r="F30" s="111">
        <v>70</v>
      </c>
      <c r="G30" s="109">
        <v>67</v>
      </c>
    </row>
    <row r="31" ht="35.1" customHeight="1" spans="1:7">
      <c r="A31" s="109">
        <v>26</v>
      </c>
      <c r="B31" s="110" t="s">
        <v>201</v>
      </c>
      <c r="C31" s="116" t="s">
        <v>169</v>
      </c>
      <c r="D31" s="109" t="s">
        <v>202</v>
      </c>
      <c r="E31" s="116" t="s">
        <v>169</v>
      </c>
      <c r="F31" s="117" t="s">
        <v>169</v>
      </c>
      <c r="G31" s="116" t="s">
        <v>169</v>
      </c>
    </row>
  </sheetData>
  <mergeCells count="2">
    <mergeCell ref="A3:G4"/>
    <mergeCell ref="A1:G2"/>
  </mergeCells>
  <pageMargins left="0.699305555555556" right="0.699305555555556" top="0.75" bottom="0.75" header="0.3" footer="0.3"/>
  <pageSetup paperSize="9" scale="62"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6"/>
  <sheetViews>
    <sheetView zoomScale="80" zoomScaleNormal="80" topLeftCell="A6" workbookViewId="0">
      <selection activeCell="C16" sqref="C16"/>
    </sheetView>
  </sheetViews>
  <sheetFormatPr defaultColWidth="9" defaultRowHeight="15"/>
  <cols>
    <col min="1" max="1" width="9.14285714285714" style="41"/>
    <col min="2" max="2" width="27.4285714285714" customWidth="1"/>
    <col min="3" max="6" width="22" customWidth="1"/>
    <col min="7" max="8" width="20.1428571428571" customWidth="1"/>
    <col min="9" max="11" width="20.2857142857143" customWidth="1"/>
    <col min="12" max="14" width="22.5714285714286" customWidth="1"/>
    <col min="15" max="15" width="20.2857142857143" customWidth="1"/>
    <col min="16" max="16" width="21.1428571428571" customWidth="1"/>
  </cols>
  <sheetData>
    <row r="1" customHeight="1" spans="1:16">
      <c r="A1" s="210" t="s">
        <v>203</v>
      </c>
      <c r="B1" s="42"/>
      <c r="C1" s="42"/>
      <c r="D1" s="42"/>
      <c r="E1" s="42"/>
      <c r="F1" s="42"/>
      <c r="G1" s="42"/>
      <c r="H1" s="42"/>
      <c r="I1" s="42"/>
      <c r="J1" s="42"/>
      <c r="K1" s="42"/>
      <c r="L1" s="42"/>
      <c r="M1" s="42"/>
      <c r="N1" s="42"/>
      <c r="O1" s="42"/>
      <c r="P1" s="42"/>
    </row>
    <row r="2" customHeight="1" spans="1:16">
      <c r="A2" s="42"/>
      <c r="B2" s="42"/>
      <c r="C2" s="42"/>
      <c r="D2" s="42"/>
      <c r="E2" s="42"/>
      <c r="F2" s="42"/>
      <c r="G2" s="42"/>
      <c r="H2" s="42"/>
      <c r="I2" s="42"/>
      <c r="J2" s="42"/>
      <c r="K2" s="42"/>
      <c r="L2" s="42"/>
      <c r="M2" s="42"/>
      <c r="N2" s="42"/>
      <c r="O2" s="42"/>
      <c r="P2" s="42"/>
    </row>
    <row r="3" customHeight="1" spans="1:16">
      <c r="A3" s="43" t="s">
        <v>204</v>
      </c>
      <c r="B3" s="44"/>
      <c r="C3" s="44"/>
      <c r="D3" s="44"/>
      <c r="E3" s="44"/>
      <c r="F3" s="44"/>
      <c r="G3" s="44"/>
      <c r="H3" s="44"/>
      <c r="I3" s="44"/>
      <c r="J3" s="44"/>
      <c r="K3" s="44"/>
      <c r="L3" s="44"/>
      <c r="M3" s="44"/>
      <c r="N3" s="44"/>
      <c r="O3" s="44"/>
      <c r="P3" s="44"/>
    </row>
    <row r="4" customHeight="1" spans="1:16">
      <c r="A4" s="45" t="s">
        <v>205</v>
      </c>
      <c r="B4" s="45" t="s">
        <v>206</v>
      </c>
      <c r="C4" s="45" t="s">
        <v>207</v>
      </c>
      <c r="D4" s="45"/>
      <c r="E4" s="45"/>
      <c r="F4" s="45"/>
      <c r="G4" s="46" t="s">
        <v>20</v>
      </c>
      <c r="H4" s="46"/>
      <c r="I4" s="45" t="s">
        <v>135</v>
      </c>
      <c r="J4" s="45"/>
      <c r="K4" s="45" t="s">
        <v>208</v>
      </c>
      <c r="L4" s="45"/>
      <c r="M4" s="45"/>
      <c r="N4" s="45"/>
      <c r="O4" s="45" t="s">
        <v>209</v>
      </c>
      <c r="P4" s="45"/>
    </row>
    <row r="5" ht="46.5" customHeight="1" spans="1:16">
      <c r="A5" s="45"/>
      <c r="B5" s="45"/>
      <c r="C5" s="47" t="s">
        <v>210</v>
      </c>
      <c r="D5" s="48" t="s">
        <v>211</v>
      </c>
      <c r="E5" s="48" t="s">
        <v>211</v>
      </c>
      <c r="F5" s="48" t="s">
        <v>210</v>
      </c>
      <c r="G5" s="46"/>
      <c r="H5" s="46"/>
      <c r="I5" s="47" t="s">
        <v>212</v>
      </c>
      <c r="J5" s="83"/>
      <c r="K5" s="84" t="s">
        <v>213</v>
      </c>
      <c r="L5" s="85"/>
      <c r="M5" s="85"/>
      <c r="N5" s="86"/>
      <c r="O5" s="46" t="s">
        <v>214</v>
      </c>
      <c r="P5" s="46" t="s">
        <v>215</v>
      </c>
    </row>
    <row r="6" spans="1:16">
      <c r="A6" s="45" t="s">
        <v>216</v>
      </c>
      <c r="B6" s="45" t="s">
        <v>24</v>
      </c>
      <c r="C6" s="45" t="s">
        <v>25</v>
      </c>
      <c r="D6" s="45" t="s">
        <v>26</v>
      </c>
      <c r="E6" s="45" t="s">
        <v>27</v>
      </c>
      <c r="F6" s="45" t="s">
        <v>26</v>
      </c>
      <c r="G6" s="45" t="s">
        <v>25</v>
      </c>
      <c r="H6" s="45" t="s">
        <v>26</v>
      </c>
      <c r="I6" s="45" t="s">
        <v>25</v>
      </c>
      <c r="J6" s="45" t="s">
        <v>26</v>
      </c>
      <c r="K6" s="87" t="s">
        <v>25</v>
      </c>
      <c r="L6" s="88"/>
      <c r="M6" s="45" t="s">
        <v>26</v>
      </c>
      <c r="N6" s="45" t="s">
        <v>27</v>
      </c>
      <c r="O6" s="45" t="s">
        <v>25</v>
      </c>
      <c r="P6" s="45" t="s">
        <v>26</v>
      </c>
    </row>
    <row r="7" spans="1:16">
      <c r="A7" s="45" t="s">
        <v>49</v>
      </c>
      <c r="B7" s="45" t="s">
        <v>217</v>
      </c>
      <c r="C7" s="49" t="s">
        <v>30</v>
      </c>
      <c r="D7" s="49" t="s">
        <v>218</v>
      </c>
      <c r="E7" s="49" t="s">
        <v>219</v>
      </c>
      <c r="F7" s="49" t="s">
        <v>220</v>
      </c>
      <c r="G7" s="49" t="s">
        <v>221</v>
      </c>
      <c r="H7" s="49" t="s">
        <v>220</v>
      </c>
      <c r="I7" s="49" t="s">
        <v>222</v>
      </c>
      <c r="J7" s="49" t="s">
        <v>219</v>
      </c>
      <c r="K7" s="87" t="s">
        <v>223</v>
      </c>
      <c r="L7" s="88"/>
      <c r="M7" s="49" t="s">
        <v>224</v>
      </c>
      <c r="N7" s="45" t="s">
        <v>220</v>
      </c>
      <c r="O7" s="49" t="s">
        <v>225</v>
      </c>
      <c r="P7" s="49" t="s">
        <v>224</v>
      </c>
    </row>
    <row r="8" ht="54" customHeight="1" spans="1:16">
      <c r="A8" s="50" t="s">
        <v>226</v>
      </c>
      <c r="B8" s="50" t="s">
        <v>29</v>
      </c>
      <c r="C8" s="51" t="s">
        <v>169</v>
      </c>
      <c r="D8" s="52" t="s">
        <v>227</v>
      </c>
      <c r="E8" s="53" t="s">
        <v>228</v>
      </c>
      <c r="F8" s="54" t="s">
        <v>229</v>
      </c>
      <c r="G8" s="53" t="s">
        <v>230</v>
      </c>
      <c r="H8" s="53" t="s">
        <v>230</v>
      </c>
      <c r="I8" s="53" t="s">
        <v>231</v>
      </c>
      <c r="J8" s="53" t="s">
        <v>232</v>
      </c>
      <c r="K8" s="89" t="s">
        <v>233</v>
      </c>
      <c r="L8" s="90"/>
      <c r="M8" s="51" t="s">
        <v>233</v>
      </c>
      <c r="N8" s="51" t="s">
        <v>234</v>
      </c>
      <c r="O8" s="51" t="s">
        <v>235</v>
      </c>
      <c r="P8" s="50" t="s">
        <v>236</v>
      </c>
    </row>
    <row r="9" ht="25.5" spans="1:16">
      <c r="A9" s="55">
        <v>1</v>
      </c>
      <c r="B9" s="56" t="s">
        <v>237</v>
      </c>
      <c r="C9" s="57">
        <v>700000</v>
      </c>
      <c r="D9" s="57">
        <v>545000</v>
      </c>
      <c r="E9" s="57">
        <v>385000</v>
      </c>
      <c r="F9" s="57">
        <v>385000</v>
      </c>
      <c r="G9" s="58">
        <v>672500</v>
      </c>
      <c r="H9" s="59">
        <v>408975</v>
      </c>
      <c r="I9" s="91">
        <v>640300</v>
      </c>
      <c r="J9" s="91">
        <v>420300</v>
      </c>
      <c r="K9" s="91">
        <v>525000</v>
      </c>
      <c r="L9" s="91">
        <v>415000</v>
      </c>
      <c r="M9" s="57">
        <v>299000</v>
      </c>
      <c r="N9" s="57">
        <v>299000</v>
      </c>
      <c r="O9" s="91">
        <v>581000</v>
      </c>
      <c r="P9" s="57">
        <v>415000</v>
      </c>
    </row>
    <row r="10" ht="15.75" spans="1:16">
      <c r="A10" s="55">
        <v>2</v>
      </c>
      <c r="B10" s="56" t="s">
        <v>238</v>
      </c>
      <c r="C10" s="57"/>
      <c r="D10" s="57"/>
      <c r="E10" s="57"/>
      <c r="F10" s="57"/>
      <c r="G10" s="58"/>
      <c r="H10" s="60"/>
      <c r="I10" s="92"/>
      <c r="J10" s="92"/>
      <c r="K10" s="92"/>
      <c r="L10" s="92"/>
      <c r="M10" s="57"/>
      <c r="N10" s="57"/>
      <c r="O10" s="93"/>
      <c r="P10" s="57"/>
    </row>
    <row r="11" ht="15.75" spans="1:16">
      <c r="A11" s="55">
        <v>3</v>
      </c>
      <c r="B11" s="56" t="s">
        <v>239</v>
      </c>
      <c r="C11" s="57"/>
      <c r="D11" s="57">
        <v>167000</v>
      </c>
      <c r="E11" s="57">
        <v>130000</v>
      </c>
      <c r="F11" s="57">
        <v>140700</v>
      </c>
      <c r="G11" s="58">
        <v>169000</v>
      </c>
      <c r="H11" s="58">
        <v>78225</v>
      </c>
      <c r="I11" s="57">
        <v>90700</v>
      </c>
      <c r="J11" s="57">
        <v>60000</v>
      </c>
      <c r="K11" s="57">
        <v>115000</v>
      </c>
      <c r="L11" s="57">
        <v>99000</v>
      </c>
      <c r="M11" s="92">
        <v>75000</v>
      </c>
      <c r="N11" s="92">
        <v>75000</v>
      </c>
      <c r="O11" s="92"/>
      <c r="P11" s="92">
        <v>79680</v>
      </c>
    </row>
    <row r="12" ht="15.75" spans="1:16">
      <c r="A12" s="55">
        <v>4</v>
      </c>
      <c r="B12" s="56" t="s">
        <v>240</v>
      </c>
      <c r="C12" s="57">
        <v>140000</v>
      </c>
      <c r="D12" s="57">
        <v>117000</v>
      </c>
      <c r="E12" s="57">
        <v>80000</v>
      </c>
      <c r="F12" s="57">
        <v>81900</v>
      </c>
      <c r="G12" s="58">
        <v>68600</v>
      </c>
      <c r="H12" s="58">
        <v>43785</v>
      </c>
      <c r="I12" s="57">
        <v>117400</v>
      </c>
      <c r="J12" s="57">
        <v>76400</v>
      </c>
      <c r="K12" s="57">
        <v>75000</v>
      </c>
      <c r="L12" s="57">
        <v>60000</v>
      </c>
      <c r="M12" s="57">
        <v>50000</v>
      </c>
      <c r="N12" s="57">
        <v>50000</v>
      </c>
      <c r="O12" s="57">
        <v>60000</v>
      </c>
      <c r="P12" s="57">
        <v>39840</v>
      </c>
    </row>
    <row r="13" ht="15.75" spans="1:16">
      <c r="A13" s="55">
        <v>5</v>
      </c>
      <c r="B13" s="56" t="s">
        <v>182</v>
      </c>
      <c r="C13" s="57">
        <v>70000</v>
      </c>
      <c r="D13" s="57">
        <v>70000</v>
      </c>
      <c r="E13" s="57">
        <v>50000</v>
      </c>
      <c r="F13" s="57">
        <v>0</v>
      </c>
      <c r="G13" s="58">
        <v>19000</v>
      </c>
      <c r="H13" s="59">
        <v>13650</v>
      </c>
      <c r="I13" s="91">
        <v>27800</v>
      </c>
      <c r="J13" s="91">
        <v>18000</v>
      </c>
      <c r="K13" s="57">
        <v>28000</v>
      </c>
      <c r="L13" s="57">
        <v>20000</v>
      </c>
      <c r="M13" s="57">
        <v>15000</v>
      </c>
      <c r="N13" s="57">
        <v>15000</v>
      </c>
      <c r="O13" s="57" t="s">
        <v>241</v>
      </c>
      <c r="P13" s="57">
        <v>17430</v>
      </c>
    </row>
    <row r="14" ht="15.75" spans="1:16">
      <c r="A14" s="55">
        <v>6</v>
      </c>
      <c r="B14" s="56" t="s">
        <v>186</v>
      </c>
      <c r="C14" s="57" t="s">
        <v>241</v>
      </c>
      <c r="D14" s="57" t="s">
        <v>241</v>
      </c>
      <c r="E14" s="57" t="s">
        <v>241</v>
      </c>
      <c r="F14" s="57">
        <v>0</v>
      </c>
      <c r="G14" s="61">
        <v>19000</v>
      </c>
      <c r="H14" s="59">
        <v>13650</v>
      </c>
      <c r="I14" s="92"/>
      <c r="J14" s="92"/>
      <c r="K14" s="57">
        <v>28000</v>
      </c>
      <c r="L14" s="57">
        <v>20000</v>
      </c>
      <c r="M14" s="57">
        <v>15000</v>
      </c>
      <c r="N14" s="57">
        <v>15000</v>
      </c>
      <c r="O14" s="57" t="s">
        <v>241</v>
      </c>
      <c r="P14" s="57" t="s">
        <v>241</v>
      </c>
    </row>
    <row r="15" ht="15.75" spans="1:16">
      <c r="A15" s="55">
        <v>7</v>
      </c>
      <c r="B15" s="56" t="s">
        <v>242</v>
      </c>
      <c r="C15" s="57"/>
      <c r="D15" s="57"/>
      <c r="E15" s="57"/>
      <c r="F15" s="57"/>
      <c r="G15" s="61"/>
      <c r="H15" s="62"/>
      <c r="I15" s="92"/>
      <c r="J15" s="92"/>
      <c r="K15" s="66" t="s">
        <v>243</v>
      </c>
      <c r="L15" s="66" t="s">
        <v>243</v>
      </c>
      <c r="M15" s="57">
        <v>4999</v>
      </c>
      <c r="N15" s="57">
        <v>4999</v>
      </c>
      <c r="O15" s="57" t="s">
        <v>241</v>
      </c>
      <c r="P15" s="57">
        <v>0</v>
      </c>
    </row>
    <row r="16" ht="44.25" customHeight="1" spans="1:16">
      <c r="A16" s="55">
        <v>7</v>
      </c>
      <c r="B16" s="63" t="s">
        <v>244</v>
      </c>
      <c r="C16" s="64">
        <f t="shared" ref="C16:O16" si="0">SUM(C9:C15)</f>
        <v>910000</v>
      </c>
      <c r="D16" s="64">
        <f t="shared" si="0"/>
        <v>899000</v>
      </c>
      <c r="E16" s="64">
        <f t="shared" si="0"/>
        <v>645000</v>
      </c>
      <c r="F16" s="64">
        <f t="shared" si="0"/>
        <v>607600</v>
      </c>
      <c r="G16" s="64">
        <f t="shared" si="0"/>
        <v>948100</v>
      </c>
      <c r="H16" s="64">
        <f t="shared" si="0"/>
        <v>558285</v>
      </c>
      <c r="I16" s="64">
        <f t="shared" si="0"/>
        <v>876200</v>
      </c>
      <c r="J16" s="64">
        <f t="shared" si="0"/>
        <v>574700</v>
      </c>
      <c r="K16" s="64">
        <f t="shared" ref="K16" si="1">SUM(K9:K15)</f>
        <v>771000</v>
      </c>
      <c r="L16" s="64">
        <f t="shared" si="0"/>
        <v>614000</v>
      </c>
      <c r="M16" s="94">
        <f t="shared" si="0"/>
        <v>458999</v>
      </c>
      <c r="N16" s="94">
        <f t="shared" si="0"/>
        <v>458999</v>
      </c>
      <c r="O16" s="64">
        <f t="shared" si="0"/>
        <v>641000</v>
      </c>
      <c r="P16" s="64">
        <f t="shared" ref="P16" si="2">SUM(P9:P15)</f>
        <v>551950</v>
      </c>
    </row>
    <row r="17" ht="15.75" spans="1:16">
      <c r="A17" s="55">
        <v>8</v>
      </c>
      <c r="B17" s="65" t="s">
        <v>245</v>
      </c>
      <c r="C17" s="57">
        <f>(C9)*0.28+SUM(C11:C15)*0.18</f>
        <v>233800</v>
      </c>
      <c r="D17" s="57">
        <f>(D9)*0.28+SUM(D11:D15)*0.18</f>
        <v>216320</v>
      </c>
      <c r="E17" s="57">
        <f>(E9)*0.28+SUM(E11:E15)*0.18</f>
        <v>154600</v>
      </c>
      <c r="F17" s="57">
        <f t="shared" ref="F17:O17" si="3">(F9)*0.28+SUM(F11:F15)*0.18</f>
        <v>147868</v>
      </c>
      <c r="G17" s="57">
        <f t="shared" si="3"/>
        <v>237908</v>
      </c>
      <c r="H17" s="57">
        <f t="shared" si="3"/>
        <v>141388.8</v>
      </c>
      <c r="I17" s="57">
        <f>(I9+I12)*0.28+(I11+I14)*0.18</f>
        <v>228482</v>
      </c>
      <c r="J17" s="57">
        <f>(J9+J12)*0.28+(J11+J14)*0.18</f>
        <v>149876</v>
      </c>
      <c r="K17" s="57">
        <f t="shared" ref="K17" si="4">(K9)*0.28+SUM(K11:K15)*0.18</f>
        <v>191280</v>
      </c>
      <c r="L17" s="57">
        <f t="shared" si="3"/>
        <v>152020</v>
      </c>
      <c r="M17" s="57">
        <f t="shared" si="3"/>
        <v>112519.82</v>
      </c>
      <c r="N17" s="57">
        <f t="shared" si="3"/>
        <v>112519.82</v>
      </c>
      <c r="O17" s="57">
        <f t="shared" si="3"/>
        <v>173480</v>
      </c>
      <c r="P17" s="57">
        <f t="shared" ref="P17" si="5">(P9)*0.28+SUM(P11:P15)*0.18</f>
        <v>140851</v>
      </c>
    </row>
    <row r="18" ht="38.25" customHeight="1" spans="1:16">
      <c r="A18" s="55">
        <v>9</v>
      </c>
      <c r="B18" s="56" t="s">
        <v>246</v>
      </c>
      <c r="C18" s="66" t="s">
        <v>48</v>
      </c>
      <c r="D18" s="66" t="s">
        <v>48</v>
      </c>
      <c r="E18" s="66" t="s">
        <v>247</v>
      </c>
      <c r="F18" s="66" t="s">
        <v>247</v>
      </c>
      <c r="G18" s="66" t="s">
        <v>48</v>
      </c>
      <c r="H18" s="66" t="s">
        <v>48</v>
      </c>
      <c r="I18" s="66" t="s">
        <v>48</v>
      </c>
      <c r="J18" s="57">
        <v>0</v>
      </c>
      <c r="K18" s="66" t="s">
        <v>48</v>
      </c>
      <c r="L18" s="66" t="s">
        <v>48</v>
      </c>
      <c r="M18" s="66" t="s">
        <v>48</v>
      </c>
      <c r="N18" s="57">
        <v>10000</v>
      </c>
      <c r="O18" s="66" t="s">
        <v>48</v>
      </c>
      <c r="P18" s="66">
        <v>0</v>
      </c>
    </row>
    <row r="19" ht="15.75" spans="1:16">
      <c r="A19" s="55">
        <v>10</v>
      </c>
      <c r="B19" s="56" t="s">
        <v>248</v>
      </c>
      <c r="C19" s="66">
        <f>(C17+C16)*3%</f>
        <v>34314</v>
      </c>
      <c r="D19" s="66">
        <f>(D17+D16)*3%</f>
        <v>33459.6</v>
      </c>
      <c r="E19" s="66">
        <f>(E17+E16)*1%</f>
        <v>7996</v>
      </c>
      <c r="F19" s="66">
        <f>(F16)*3%</f>
        <v>18228</v>
      </c>
      <c r="G19" s="67">
        <f>(G17+G16)*3%</f>
        <v>35580.24</v>
      </c>
      <c r="H19" s="67">
        <f>H16*3%</f>
        <v>16748.55</v>
      </c>
      <c r="I19" s="67">
        <f>(I17+I16)*3%</f>
        <v>33140.46</v>
      </c>
      <c r="J19" s="67">
        <v>0</v>
      </c>
      <c r="K19" s="66" t="s">
        <v>243</v>
      </c>
      <c r="L19" s="66" t="s">
        <v>243</v>
      </c>
      <c r="M19" s="66" t="s">
        <v>241</v>
      </c>
      <c r="N19" s="66" t="s">
        <v>241</v>
      </c>
      <c r="O19" s="67">
        <f>(O17+O16)*2%</f>
        <v>16289.6</v>
      </c>
      <c r="P19" s="66">
        <v>0</v>
      </c>
    </row>
    <row r="20" ht="31.5" spans="1:16">
      <c r="A20" s="55">
        <v>11</v>
      </c>
      <c r="B20" s="56" t="s">
        <v>249</v>
      </c>
      <c r="C20" s="66" t="s">
        <v>247</v>
      </c>
      <c r="D20" s="66">
        <v>10000</v>
      </c>
      <c r="E20" s="66">
        <v>5000</v>
      </c>
      <c r="F20" s="66">
        <v>0</v>
      </c>
      <c r="G20" s="66" t="s">
        <v>247</v>
      </c>
      <c r="H20" s="66" t="s">
        <v>247</v>
      </c>
      <c r="I20" s="66" t="s">
        <v>250</v>
      </c>
      <c r="J20" s="66">
        <v>0</v>
      </c>
      <c r="K20" s="66" t="s">
        <v>247</v>
      </c>
      <c r="L20" s="66" t="s">
        <v>247</v>
      </c>
      <c r="M20" s="66">
        <v>0</v>
      </c>
      <c r="N20" s="66">
        <v>0</v>
      </c>
      <c r="O20" s="66" t="s">
        <v>251</v>
      </c>
      <c r="P20" s="66" t="s">
        <v>251</v>
      </c>
    </row>
    <row r="21" ht="25.5" customHeight="1" spans="1:16">
      <c r="A21" s="55">
        <v>12</v>
      </c>
      <c r="B21" s="68" t="s">
        <v>252</v>
      </c>
      <c r="C21" s="67">
        <f>C19*0.18</f>
        <v>6176.52</v>
      </c>
      <c r="D21" s="67">
        <f>(D19+D20)*0.18</f>
        <v>7822.728</v>
      </c>
      <c r="E21" s="67">
        <f>(E19+E20)*0.18</f>
        <v>2339.28</v>
      </c>
      <c r="F21" s="67">
        <f>(F19+F20)*0.18</f>
        <v>3281.04</v>
      </c>
      <c r="G21" s="67">
        <f>(G19)*0.18</f>
        <v>6404.4432</v>
      </c>
      <c r="H21" s="67">
        <f>(H19)*0.18</f>
        <v>3014.739</v>
      </c>
      <c r="I21" s="67">
        <f>(I19)*0.18</f>
        <v>5965.2828</v>
      </c>
      <c r="J21" s="66">
        <v>0</v>
      </c>
      <c r="K21" s="66" t="s">
        <v>169</v>
      </c>
      <c r="L21" s="66" t="s">
        <v>169</v>
      </c>
      <c r="M21" s="66">
        <f>M20*0.18</f>
        <v>0</v>
      </c>
      <c r="N21" s="66">
        <f>N18*0.18</f>
        <v>1800</v>
      </c>
      <c r="O21" s="66">
        <v>0</v>
      </c>
      <c r="P21" s="66">
        <v>0</v>
      </c>
    </row>
    <row r="22" s="39" customFormat="1" ht="38.25" customHeight="1" spans="1:16">
      <c r="A22" s="69">
        <v>13</v>
      </c>
      <c r="B22" s="70" t="s">
        <v>253</v>
      </c>
      <c r="C22" s="64">
        <f t="shared" ref="C22:F22" si="6">SUM(C16:C21)</f>
        <v>1184290.52</v>
      </c>
      <c r="D22" s="64">
        <f t="shared" si="6"/>
        <v>1166602.328</v>
      </c>
      <c r="E22" s="64">
        <f t="shared" si="6"/>
        <v>814935.28</v>
      </c>
      <c r="F22" s="64">
        <f t="shared" si="6"/>
        <v>776977.04</v>
      </c>
      <c r="G22" s="64">
        <f t="shared" ref="G22:H22" si="7">SUM(G16:G21)</f>
        <v>1227992.6832</v>
      </c>
      <c r="H22" s="64">
        <f t="shared" si="7"/>
        <v>719437.089</v>
      </c>
      <c r="I22" s="64">
        <f t="shared" ref="I22:N22" si="8">SUM(I16:I21)</f>
        <v>1143787.7428</v>
      </c>
      <c r="J22" s="64">
        <f t="shared" si="8"/>
        <v>724576</v>
      </c>
      <c r="K22" s="64">
        <f t="shared" si="8"/>
        <v>962280</v>
      </c>
      <c r="L22" s="64">
        <f t="shared" si="8"/>
        <v>766020</v>
      </c>
      <c r="M22" s="94">
        <f t="shared" si="8"/>
        <v>571518.82</v>
      </c>
      <c r="N22" s="94">
        <f t="shared" si="8"/>
        <v>583318.82</v>
      </c>
      <c r="O22" s="64">
        <f t="shared" ref="O22" si="9">SUM(O16:O21)</f>
        <v>830769.6</v>
      </c>
      <c r="P22" s="64">
        <f t="shared" ref="P22" si="10">SUM(P16:P21)</f>
        <v>692801</v>
      </c>
    </row>
    <row r="23" ht="15.75" spans="1:16">
      <c r="A23" s="55">
        <v>14</v>
      </c>
      <c r="B23" s="56" t="s">
        <v>254</v>
      </c>
      <c r="C23" s="66" t="s">
        <v>255</v>
      </c>
      <c r="D23" s="66" t="s">
        <v>256</v>
      </c>
      <c r="E23" s="66" t="s">
        <v>256</v>
      </c>
      <c r="F23" s="66" t="s">
        <v>257</v>
      </c>
      <c r="G23" s="66" t="s">
        <v>258</v>
      </c>
      <c r="H23" s="66" t="s">
        <v>258</v>
      </c>
      <c r="I23" s="66" t="s">
        <v>255</v>
      </c>
      <c r="J23" s="66" t="s">
        <v>258</v>
      </c>
      <c r="K23" s="95" t="s">
        <v>258</v>
      </c>
      <c r="L23" s="95" t="s">
        <v>258</v>
      </c>
      <c r="M23" s="95" t="s">
        <v>258</v>
      </c>
      <c r="N23" s="95" t="s">
        <v>258</v>
      </c>
      <c r="O23" s="66" t="s">
        <v>259</v>
      </c>
      <c r="P23" s="66" t="s">
        <v>260</v>
      </c>
    </row>
    <row r="24" ht="15.75" spans="1:16">
      <c r="A24" s="55">
        <v>15</v>
      </c>
      <c r="B24" s="56" t="s">
        <v>261</v>
      </c>
      <c r="C24" s="66" t="s">
        <v>262</v>
      </c>
      <c r="D24" s="66" t="s">
        <v>262</v>
      </c>
      <c r="E24" s="66" t="s">
        <v>262</v>
      </c>
      <c r="F24" s="71" t="s">
        <v>262</v>
      </c>
      <c r="G24" s="72" t="s">
        <v>263</v>
      </c>
      <c r="H24" s="72" t="s">
        <v>263</v>
      </c>
      <c r="I24" s="66" t="s">
        <v>264</v>
      </c>
      <c r="J24" s="66" t="s">
        <v>264</v>
      </c>
      <c r="K24" s="66" t="s">
        <v>264</v>
      </c>
      <c r="L24" s="66" t="s">
        <v>264</v>
      </c>
      <c r="M24" s="66" t="s">
        <v>264</v>
      </c>
      <c r="N24" s="66" t="s">
        <v>264</v>
      </c>
      <c r="O24" s="66" t="s">
        <v>262</v>
      </c>
      <c r="P24" s="66" t="s">
        <v>262</v>
      </c>
    </row>
    <row r="25" ht="94.5" spans="1:16">
      <c r="A25" s="55">
        <v>16</v>
      </c>
      <c r="B25" s="73" t="s">
        <v>265</v>
      </c>
      <c r="C25" s="58" t="s">
        <v>266</v>
      </c>
      <c r="D25" s="58" t="s">
        <v>266</v>
      </c>
      <c r="E25" s="58" t="s">
        <v>266</v>
      </c>
      <c r="F25" s="58" t="s">
        <v>266</v>
      </c>
      <c r="G25" s="74" t="s">
        <v>267</v>
      </c>
      <c r="H25" s="74" t="s">
        <v>268</v>
      </c>
      <c r="I25" s="74" t="s">
        <v>269</v>
      </c>
      <c r="J25" s="74" t="s">
        <v>269</v>
      </c>
      <c r="K25" s="74" t="s">
        <v>269</v>
      </c>
      <c r="L25" s="74" t="s">
        <v>269</v>
      </c>
      <c r="M25" s="74" t="s">
        <v>270</v>
      </c>
      <c r="N25" s="74" t="s">
        <v>270</v>
      </c>
      <c r="O25" s="74" t="s">
        <v>269</v>
      </c>
      <c r="P25" s="74" t="s">
        <v>269</v>
      </c>
    </row>
    <row r="26" s="40" customFormat="1" ht="97.5" customHeight="1" spans="1:16">
      <c r="A26" s="55">
        <v>17</v>
      </c>
      <c r="B26" s="56" t="s">
        <v>271</v>
      </c>
      <c r="C26" s="66" t="s">
        <v>272</v>
      </c>
      <c r="D26" s="66" t="s">
        <v>272</v>
      </c>
      <c r="E26" s="66" t="s">
        <v>273</v>
      </c>
      <c r="F26" s="66" t="s">
        <v>272</v>
      </c>
      <c r="G26" s="75" t="s">
        <v>272</v>
      </c>
      <c r="H26" s="75" t="s">
        <v>272</v>
      </c>
      <c r="I26" s="75" t="s">
        <v>274</v>
      </c>
      <c r="J26" s="75" t="s">
        <v>275</v>
      </c>
      <c r="K26" s="75" t="s">
        <v>276</v>
      </c>
      <c r="L26" s="75" t="s">
        <v>276</v>
      </c>
      <c r="M26" s="75" t="s">
        <v>277</v>
      </c>
      <c r="N26" s="75" t="s">
        <v>277</v>
      </c>
      <c r="O26" s="75" t="s">
        <v>272</v>
      </c>
      <c r="P26" s="75" t="s">
        <v>277</v>
      </c>
    </row>
    <row r="27" ht="15.75" spans="1:16">
      <c r="A27" s="55">
        <v>18</v>
      </c>
      <c r="B27" s="56" t="s">
        <v>278</v>
      </c>
      <c r="C27" s="76" t="s">
        <v>279</v>
      </c>
      <c r="D27" s="76" t="s">
        <v>279</v>
      </c>
      <c r="E27" s="76" t="s">
        <v>279</v>
      </c>
      <c r="F27" s="76" t="s">
        <v>279</v>
      </c>
      <c r="G27" s="66" t="s">
        <v>280</v>
      </c>
      <c r="H27" s="66" t="s">
        <v>280</v>
      </c>
      <c r="I27" s="66" t="s">
        <v>279</v>
      </c>
      <c r="J27" s="78"/>
      <c r="K27" s="78"/>
      <c r="L27" s="78" t="s">
        <v>279</v>
      </c>
      <c r="M27" s="96"/>
      <c r="N27" s="79"/>
      <c r="O27" s="66" t="s">
        <v>279</v>
      </c>
      <c r="P27" s="76" t="s">
        <v>279</v>
      </c>
    </row>
    <row r="28" ht="37.5" customHeight="1" spans="1:16">
      <c r="A28" s="55">
        <v>19</v>
      </c>
      <c r="B28" s="56" t="s">
        <v>281</v>
      </c>
      <c r="C28" s="77" t="s">
        <v>282</v>
      </c>
      <c r="D28" s="78" t="s">
        <v>283</v>
      </c>
      <c r="E28" s="79"/>
      <c r="F28" s="77" t="s">
        <v>284</v>
      </c>
      <c r="G28" s="78" t="s">
        <v>285</v>
      </c>
      <c r="H28" s="79"/>
      <c r="I28" s="78" t="s">
        <v>286</v>
      </c>
      <c r="J28" s="79"/>
      <c r="K28" s="96"/>
      <c r="L28" s="78" t="s">
        <v>287</v>
      </c>
      <c r="M28" s="96"/>
      <c r="N28" s="79"/>
      <c r="O28" s="78" t="s">
        <v>288</v>
      </c>
      <c r="P28" s="79"/>
    </row>
    <row r="29" ht="15.75" spans="1:16">
      <c r="A29" s="80"/>
      <c r="B29" s="81"/>
      <c r="C29" s="82"/>
      <c r="D29" s="82"/>
      <c r="E29" s="82"/>
      <c r="F29" s="82"/>
      <c r="G29" s="82"/>
      <c r="H29" s="82"/>
      <c r="I29" s="82"/>
      <c r="J29" s="82"/>
      <c r="K29" s="82"/>
      <c r="L29" s="82"/>
      <c r="M29" s="82"/>
      <c r="N29" s="82"/>
      <c r="O29" s="82"/>
      <c r="P29" s="82"/>
    </row>
    <row r="36" ht="15.75" spans="7:8">
      <c r="G36" s="78"/>
      <c r="H36" s="79"/>
    </row>
  </sheetData>
  <mergeCells count="36">
    <mergeCell ref="A3:P3"/>
    <mergeCell ref="C4:F4"/>
    <mergeCell ref="I4:J4"/>
    <mergeCell ref="K4:N4"/>
    <mergeCell ref="O4:P4"/>
    <mergeCell ref="I5:J5"/>
    <mergeCell ref="K5:N5"/>
    <mergeCell ref="K6:L6"/>
    <mergeCell ref="K7:L7"/>
    <mergeCell ref="K8:L8"/>
    <mergeCell ref="L27:N27"/>
    <mergeCell ref="D28:E28"/>
    <mergeCell ref="G28:H28"/>
    <mergeCell ref="I28:J28"/>
    <mergeCell ref="L28:N28"/>
    <mergeCell ref="O28:P28"/>
    <mergeCell ref="G36:H36"/>
    <mergeCell ref="A4:A5"/>
    <mergeCell ref="B4:B5"/>
    <mergeCell ref="C9:C11"/>
    <mergeCell ref="D9:D10"/>
    <mergeCell ref="E9:E10"/>
    <mergeCell ref="F9:F10"/>
    <mergeCell ref="G9:G10"/>
    <mergeCell ref="H9:H10"/>
    <mergeCell ref="I9:I10"/>
    <mergeCell ref="I13:I14"/>
    <mergeCell ref="J13:J14"/>
    <mergeCell ref="K9:K10"/>
    <mergeCell ref="L9:L10"/>
    <mergeCell ref="M9:M10"/>
    <mergeCell ref="N9:N10"/>
    <mergeCell ref="O9:O11"/>
    <mergeCell ref="P9:P10"/>
    <mergeCell ref="A1:P2"/>
    <mergeCell ref="G4:H5"/>
  </mergeCells>
  <hyperlinks>
    <hyperlink ref="B17" r:id="rId1" display="GST@28% &amp; 18%"/>
    <hyperlink ref="B21" r:id="rId2" display="GST@18%"/>
  </hyperlinks>
  <pageMargins left="0.25" right="0.25" top="0.75" bottom="0.75" header="0.3" footer="0.3"/>
  <pageSetup paperSize="9" scale="48"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Q13"/>
  <sheetViews>
    <sheetView workbookViewId="0">
      <selection activeCell="E11" sqref="E11"/>
    </sheetView>
  </sheetViews>
  <sheetFormatPr defaultColWidth="9" defaultRowHeight="15"/>
  <cols>
    <col min="2" max="2" width="17.2857142857143" style="1" customWidth="1"/>
    <col min="3" max="15" width="9.71428571428571" customWidth="1"/>
  </cols>
  <sheetData>
    <row r="1" spans="2:15">
      <c r="B1" s="2" t="s">
        <v>289</v>
      </c>
      <c r="C1" s="3"/>
      <c r="D1" s="3"/>
      <c r="E1" s="3"/>
      <c r="F1" s="3"/>
      <c r="G1" s="3"/>
      <c r="H1" s="3"/>
      <c r="I1" s="3"/>
      <c r="J1" s="3"/>
      <c r="K1" s="3"/>
      <c r="L1" s="3"/>
      <c r="M1" s="3"/>
      <c r="N1" s="3"/>
      <c r="O1" s="32"/>
    </row>
    <row r="2" ht="15.75" spans="2:15">
      <c r="B2" s="4"/>
      <c r="C2" s="5"/>
      <c r="D2" s="5"/>
      <c r="E2" s="5"/>
      <c r="F2" s="5"/>
      <c r="G2" s="5"/>
      <c r="H2" s="5"/>
      <c r="I2" s="5"/>
      <c r="J2" s="5"/>
      <c r="K2" s="5"/>
      <c r="L2" s="5"/>
      <c r="M2" s="5"/>
      <c r="N2" s="5"/>
      <c r="O2" s="33"/>
    </row>
    <row r="3" ht="30.75" spans="2:15">
      <c r="B3" s="6" t="s">
        <v>290</v>
      </c>
      <c r="C3" s="7" t="s">
        <v>291</v>
      </c>
      <c r="D3" s="8"/>
      <c r="E3" s="7" t="s">
        <v>292</v>
      </c>
      <c r="F3" s="8"/>
      <c r="G3" s="7" t="s">
        <v>20</v>
      </c>
      <c r="H3" s="8"/>
      <c r="I3" s="7" t="s">
        <v>293</v>
      </c>
      <c r="J3" s="8"/>
      <c r="K3" s="7" t="s">
        <v>294</v>
      </c>
      <c r="L3" s="34"/>
      <c r="M3" s="8"/>
      <c r="N3" s="7" t="s">
        <v>137</v>
      </c>
      <c r="O3" s="8"/>
    </row>
    <row r="4" ht="20.1" customHeight="1" spans="2:15">
      <c r="B4" s="9" t="s">
        <v>295</v>
      </c>
      <c r="C4" s="10" t="s">
        <v>25</v>
      </c>
      <c r="D4" s="11" t="s">
        <v>26</v>
      </c>
      <c r="E4" s="10" t="s">
        <v>25</v>
      </c>
      <c r="F4" s="11" t="s">
        <v>26</v>
      </c>
      <c r="G4" s="10" t="s">
        <v>25</v>
      </c>
      <c r="H4" s="11" t="s">
        <v>26</v>
      </c>
      <c r="I4" s="10" t="s">
        <v>25</v>
      </c>
      <c r="J4" s="11" t="s">
        <v>26</v>
      </c>
      <c r="K4" s="10" t="s">
        <v>25</v>
      </c>
      <c r="L4" s="11" t="s">
        <v>26</v>
      </c>
      <c r="M4" s="11" t="s">
        <v>27</v>
      </c>
      <c r="N4" s="10" t="s">
        <v>25</v>
      </c>
      <c r="O4" s="11" t="s">
        <v>26</v>
      </c>
    </row>
    <row r="5" ht="20.1" customHeight="1" spans="2:15">
      <c r="B5" s="12" t="s">
        <v>296</v>
      </c>
      <c r="C5" s="13"/>
      <c r="D5" s="14"/>
      <c r="E5" s="13"/>
      <c r="F5" s="14"/>
      <c r="G5" s="13"/>
      <c r="H5" s="14"/>
      <c r="I5" s="13"/>
      <c r="J5" s="14"/>
      <c r="K5" s="13"/>
      <c r="L5" s="14"/>
      <c r="M5" s="14"/>
      <c r="N5" s="13"/>
      <c r="O5" s="14"/>
    </row>
    <row r="6" ht="20.1" customHeight="1" spans="2:15">
      <c r="B6" s="12" t="s">
        <v>297</v>
      </c>
      <c r="C6" s="15">
        <v>9.1</v>
      </c>
      <c r="D6" s="16">
        <v>6.076</v>
      </c>
      <c r="E6" s="15">
        <v>9.04</v>
      </c>
      <c r="F6" s="16">
        <v>6.45</v>
      </c>
      <c r="G6" s="15">
        <v>9.481</v>
      </c>
      <c r="H6" s="16">
        <v>5.582</v>
      </c>
      <c r="I6" s="15">
        <v>8.76</v>
      </c>
      <c r="J6" s="16">
        <v>5.747</v>
      </c>
      <c r="K6" s="15">
        <f>'Annx- 4 Comm comparison'!L16/100000</f>
        <v>6.14</v>
      </c>
      <c r="L6" s="16">
        <f>'Annx- 4 Comm comparison'!M16/100000</f>
        <v>4.58999</v>
      </c>
      <c r="M6" s="16">
        <f>'Annx- 4 Comm comparison'!N16/100000</f>
        <v>4.58999</v>
      </c>
      <c r="N6" s="15">
        <v>6.41</v>
      </c>
      <c r="O6" s="16">
        <v>5.52</v>
      </c>
    </row>
    <row r="7" ht="20.1" customHeight="1" spans="2:15">
      <c r="B7" s="17" t="s">
        <v>245</v>
      </c>
      <c r="C7" s="15">
        <v>2.34</v>
      </c>
      <c r="D7" s="16">
        <v>1.478</v>
      </c>
      <c r="E7" s="15">
        <v>2.177</v>
      </c>
      <c r="F7" s="16">
        <v>1.546</v>
      </c>
      <c r="G7" s="15">
        <v>2.38</v>
      </c>
      <c r="H7" s="16">
        <v>1.41</v>
      </c>
      <c r="I7" s="15">
        <v>2.28</v>
      </c>
      <c r="J7" s="16">
        <v>1.498</v>
      </c>
      <c r="K7" s="15">
        <v>1.927</v>
      </c>
      <c r="L7" s="16">
        <v>1.125</v>
      </c>
      <c r="M7" s="16">
        <v>1.125</v>
      </c>
      <c r="N7" s="15">
        <v>1.7348</v>
      </c>
      <c r="O7" s="16">
        <v>1.408</v>
      </c>
    </row>
    <row r="8" ht="45" spans="2:17">
      <c r="B8" s="18" t="s">
        <v>298</v>
      </c>
      <c r="C8" s="19" t="s">
        <v>48</v>
      </c>
      <c r="D8" s="20"/>
      <c r="E8" s="19" t="s">
        <v>48</v>
      </c>
      <c r="F8" s="20"/>
      <c r="G8" s="19" t="s">
        <v>48</v>
      </c>
      <c r="H8" s="20"/>
      <c r="I8" s="21" t="s">
        <v>48</v>
      </c>
      <c r="J8" s="22">
        <v>0</v>
      </c>
      <c r="K8" s="21" t="s">
        <v>48</v>
      </c>
      <c r="L8" s="21" t="s">
        <v>48</v>
      </c>
      <c r="M8" s="16">
        <f>'Annx- 4 Comm comparison'!N18/100000</f>
        <v>0.1</v>
      </c>
      <c r="N8" s="21" t="s">
        <v>48</v>
      </c>
      <c r="O8" s="22">
        <v>0</v>
      </c>
      <c r="Q8" s="38"/>
    </row>
    <row r="9" ht="20.1" customHeight="1" spans="2:15">
      <c r="B9" s="12" t="s">
        <v>299</v>
      </c>
      <c r="C9" s="21" t="s">
        <v>51</v>
      </c>
      <c r="D9" s="22" t="s">
        <v>51</v>
      </c>
      <c r="E9" s="21" t="s">
        <v>51</v>
      </c>
      <c r="F9" s="16">
        <v>0.05</v>
      </c>
      <c r="G9" s="21" t="s">
        <v>51</v>
      </c>
      <c r="H9" s="22" t="s">
        <v>51</v>
      </c>
      <c r="I9" s="21" t="s">
        <v>51</v>
      </c>
      <c r="J9" s="22">
        <v>0</v>
      </c>
      <c r="K9" s="21" t="s">
        <v>51</v>
      </c>
      <c r="L9" s="22">
        <v>0</v>
      </c>
      <c r="M9" s="22">
        <v>0</v>
      </c>
      <c r="N9" s="21">
        <v>0</v>
      </c>
      <c r="O9" s="22">
        <v>0</v>
      </c>
    </row>
    <row r="10" ht="20.1" customHeight="1" spans="2:15">
      <c r="B10" s="12" t="s">
        <v>300</v>
      </c>
      <c r="C10" s="21" t="s">
        <v>51</v>
      </c>
      <c r="D10" s="22" t="s">
        <v>51</v>
      </c>
      <c r="E10" s="21" t="s">
        <v>51</v>
      </c>
      <c r="F10" s="16">
        <f>F9*18%</f>
        <v>0.009</v>
      </c>
      <c r="G10" s="21" t="s">
        <v>51</v>
      </c>
      <c r="H10" s="22" t="s">
        <v>51</v>
      </c>
      <c r="I10" s="21" t="s">
        <v>51</v>
      </c>
      <c r="J10" s="22">
        <v>0</v>
      </c>
      <c r="K10" s="21" t="s">
        <v>51</v>
      </c>
      <c r="L10" s="22">
        <v>0</v>
      </c>
      <c r="M10" s="22">
        <v>0</v>
      </c>
      <c r="N10" s="21">
        <f t="shared" ref="N10:O10" si="0">N9*18%</f>
        <v>0</v>
      </c>
      <c r="O10" s="22">
        <f t="shared" si="0"/>
        <v>0</v>
      </c>
    </row>
    <row r="11" ht="20.1" customHeight="1" spans="2:15">
      <c r="B11" s="12" t="s">
        <v>301</v>
      </c>
      <c r="C11" s="23">
        <f>SUM(C6:C10)</f>
        <v>11.44</v>
      </c>
      <c r="D11" s="24">
        <f t="shared" ref="D11:O11" si="1">SUM(D6:D10)</f>
        <v>7.554</v>
      </c>
      <c r="E11" s="15">
        <f t="shared" si="1"/>
        <v>11.217</v>
      </c>
      <c r="F11" s="16">
        <f t="shared" si="1"/>
        <v>8.055</v>
      </c>
      <c r="G11" s="15">
        <f t="shared" si="1"/>
        <v>11.861</v>
      </c>
      <c r="H11" s="16">
        <f t="shared" si="1"/>
        <v>6.992</v>
      </c>
      <c r="I11" s="15">
        <f t="shared" si="1"/>
        <v>11.04</v>
      </c>
      <c r="J11" s="16">
        <f t="shared" si="1"/>
        <v>7.245</v>
      </c>
      <c r="K11" s="15">
        <f t="shared" si="1"/>
        <v>8.067</v>
      </c>
      <c r="L11" s="15">
        <f t="shared" si="1"/>
        <v>5.71499</v>
      </c>
      <c r="M11" s="35">
        <f t="shared" si="1"/>
        <v>5.81499</v>
      </c>
      <c r="N11" s="15">
        <f t="shared" si="1"/>
        <v>8.1448</v>
      </c>
      <c r="O11" s="16">
        <f t="shared" si="1"/>
        <v>6.928</v>
      </c>
    </row>
    <row r="12" ht="20.1" customHeight="1" spans="2:15">
      <c r="B12" s="25" t="s">
        <v>302</v>
      </c>
      <c r="C12" s="26" t="s">
        <v>303</v>
      </c>
      <c r="D12" s="27"/>
      <c r="E12" s="26" t="s">
        <v>303</v>
      </c>
      <c r="F12" s="27"/>
      <c r="G12" s="28" t="s">
        <v>258</v>
      </c>
      <c r="H12" s="29"/>
      <c r="I12" s="28" t="s">
        <v>258</v>
      </c>
      <c r="J12" s="29"/>
      <c r="K12" s="28" t="s">
        <v>258</v>
      </c>
      <c r="L12" s="36"/>
      <c r="M12" s="29"/>
      <c r="N12" s="28" t="s">
        <v>304</v>
      </c>
      <c r="O12" s="29"/>
    </row>
    <row r="13" ht="15.75" spans="2:15">
      <c r="B13" s="30" t="s">
        <v>70</v>
      </c>
      <c r="C13" s="31"/>
      <c r="D13" s="31"/>
      <c r="E13" s="31"/>
      <c r="F13" s="31"/>
      <c r="G13" s="31"/>
      <c r="H13" s="31"/>
      <c r="I13" s="31"/>
      <c r="J13" s="31"/>
      <c r="K13" s="31"/>
      <c r="L13" s="31"/>
      <c r="M13" s="31"/>
      <c r="N13" s="31"/>
      <c r="O13" s="37"/>
    </row>
  </sheetData>
  <mergeCells count="16">
    <mergeCell ref="C3:D3"/>
    <mergeCell ref="E3:F3"/>
    <mergeCell ref="G3:H3"/>
    <mergeCell ref="I3:J3"/>
    <mergeCell ref="K3:M3"/>
    <mergeCell ref="N3:O3"/>
    <mergeCell ref="C8:D8"/>
    <mergeCell ref="E8:F8"/>
    <mergeCell ref="G8:H8"/>
    <mergeCell ref="C12:D12"/>
    <mergeCell ref="E12:F12"/>
    <mergeCell ref="G12:H12"/>
    <mergeCell ref="I12:J12"/>
    <mergeCell ref="K12:M12"/>
    <mergeCell ref="N12:O12"/>
    <mergeCell ref="B1:O2"/>
  </mergeCells>
  <hyperlinks>
    <hyperlink ref="B7" r:id="rId1" display="GST@28% &amp; 18%"/>
  </hyperlinks>
  <pageMargins left="0.699305555555556" right="0.699305555555556" top="0.75" bottom="0.75" header="0.3" footer="0.3"/>
  <pageSetup paperSize="9" scale="9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Capex note</vt:lpstr>
      <vt:lpstr>Summary</vt:lpstr>
      <vt:lpstr>Annx-1</vt:lpstr>
      <vt:lpstr>Annx-3 Tech comparision</vt:lpstr>
      <vt:lpstr>Annx- 4 Comm comparison</vt:lpstr>
      <vt:lpstr>Summ-Commercial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23010035</dc:creator>
  <cp:lastModifiedBy>Vivek.n</cp:lastModifiedBy>
  <dcterms:created xsi:type="dcterms:W3CDTF">2015-02-23T04:46:00Z</dcterms:created>
  <cp:lastPrinted>2017-08-24T08:56:00Z</cp:lastPrinted>
  <dcterms:modified xsi:type="dcterms:W3CDTF">2018-06-18T13:37:57Z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1033-10.2.0.6080</vt:lpwstr>
  </property>
</Properties>
</file>